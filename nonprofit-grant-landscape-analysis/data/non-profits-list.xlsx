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5d91d50f08f5841f/ADVANCED ED/U.C. Berkelely/DataCorps/Great Revenew/"/>
    </mc:Choice>
  </mc:AlternateContent>
  <xr:revisionPtr revIDLastSave="387" documentId="8_{704BD125-002B-46DA-900B-CF82386522A0}" xr6:coauthVersionLast="47" xr6:coauthVersionMax="47" xr10:uidLastSave="{2BEFB36A-052B-4038-8959-7C97D7A04D99}"/>
  <bookViews>
    <workbookView xWindow="-28920" yWindow="645" windowWidth="29040" windowHeight="15720" tabRatio="756" activeTab="5" xr2:uid="{4D6F3ECA-F41F-440D-8731-E2E117F1715B}"/>
  </bookViews>
  <sheets>
    <sheet name="Orgs" sheetId="1" r:id="rId1"/>
    <sheet name="Sheet1" sheetId="8" r:id="rId2"/>
    <sheet name="full list" sheetId="2" r:id="rId3"/>
    <sheet name="vlookup-draft" sheetId="6" r:id="rId4"/>
    <sheet name="compiled" sheetId="15" r:id="rId5"/>
    <sheet name="compiled list" sheetId="4" r:id="rId6"/>
    <sheet name="Sheet2" sheetId="12" r:id="rId7"/>
    <sheet name="data_dict" sheetId="9" r:id="rId8"/>
    <sheet name="form-990" sheetId="10" r:id="rId9"/>
    <sheet name="Sheet4" sheetId="14" r:id="rId10"/>
    <sheet name="Employees" sheetId="11" r:id="rId11"/>
    <sheet name="Grant_maker" sheetId="7" r:id="rId12"/>
    <sheet name="grants" sheetId="13" r:id="rId13"/>
  </sheets>
  <definedNames>
    <definedName name="_xlnm._FilterDatabase" localSheetId="5" hidden="1">'compiled list'!$A$1:$O$135</definedName>
    <definedName name="_xlnm._FilterDatabase" localSheetId="10" hidden="1">Employees!$A$1:$H$596</definedName>
    <definedName name="_xlnm._FilterDatabase" localSheetId="12" hidden="1">grants!$B$1:$B$88</definedName>
    <definedName name="_xlnm._FilterDatabase" localSheetId="0" hidden="1">Orgs!$A$1:$F$37</definedName>
  </definedNames>
  <calcPr calcId="191029"/>
  <pivotCaches>
    <pivotCache cacheId="0" r:id="rId14"/>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8" i="4" l="1"/>
  <c r="I2" i="11"/>
  <c r="H86" i="7"/>
  <c r="H87" i="7"/>
  <c r="H88"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2" i="7"/>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2" i="6"/>
  <c r="M130" i="6" l="1"/>
  <c r="L130" i="6"/>
  <c r="A130" i="6"/>
  <c r="M129" i="6"/>
  <c r="L129" i="6"/>
  <c r="A129" i="6"/>
  <c r="M128" i="6"/>
  <c r="L128" i="6"/>
  <c r="A128" i="6"/>
  <c r="M127" i="6"/>
  <c r="L127" i="6"/>
  <c r="A127" i="6"/>
  <c r="M126" i="6"/>
  <c r="L126" i="6"/>
  <c r="A126" i="6"/>
  <c r="M125" i="6"/>
  <c r="L125" i="6"/>
  <c r="A125" i="6"/>
  <c r="M124" i="6"/>
  <c r="L124" i="6"/>
  <c r="A124" i="6"/>
  <c r="M123" i="6"/>
  <c r="L123" i="6"/>
  <c r="A123" i="6"/>
  <c r="M122" i="6"/>
  <c r="L122" i="6"/>
  <c r="A122" i="6"/>
  <c r="M121" i="6"/>
  <c r="L121" i="6"/>
  <c r="A121" i="6"/>
  <c r="M120" i="6"/>
  <c r="L120" i="6"/>
  <c r="A120" i="6"/>
  <c r="M119" i="6"/>
  <c r="L119" i="6"/>
  <c r="A119" i="6"/>
  <c r="M118" i="6"/>
  <c r="L118" i="6"/>
  <c r="A118" i="6"/>
  <c r="M117" i="6"/>
  <c r="L117" i="6"/>
  <c r="A117" i="6"/>
  <c r="M116" i="6"/>
  <c r="L116" i="6"/>
  <c r="A116" i="6"/>
  <c r="M115" i="6"/>
  <c r="L115" i="6"/>
  <c r="A115" i="6"/>
  <c r="M114" i="6"/>
  <c r="L114" i="6"/>
  <c r="A114" i="6"/>
  <c r="M113" i="6"/>
  <c r="L113" i="6"/>
  <c r="A113" i="6"/>
  <c r="M112" i="6"/>
  <c r="L112" i="6"/>
  <c r="A112" i="6"/>
  <c r="M111" i="6"/>
  <c r="L111" i="6"/>
  <c r="A111" i="6"/>
  <c r="M110" i="6"/>
  <c r="L110" i="6"/>
  <c r="A110" i="6"/>
  <c r="M109" i="6"/>
  <c r="L109" i="6"/>
  <c r="A109" i="6"/>
  <c r="M108" i="6"/>
  <c r="L108" i="6"/>
  <c r="A108" i="6"/>
  <c r="M107" i="6"/>
  <c r="L107" i="6"/>
  <c r="A107" i="6"/>
  <c r="M106" i="6"/>
  <c r="L106" i="6"/>
  <c r="A106" i="6"/>
  <c r="M105" i="6"/>
  <c r="L105" i="6"/>
  <c r="A105" i="6"/>
  <c r="M104" i="6"/>
  <c r="L104" i="6"/>
  <c r="A104" i="6"/>
  <c r="M103" i="6"/>
  <c r="L103" i="6"/>
  <c r="A103" i="6"/>
  <c r="M102" i="6"/>
  <c r="L102" i="6"/>
  <c r="A102" i="6"/>
  <c r="M101" i="6"/>
  <c r="L101" i="6"/>
  <c r="A101" i="6"/>
  <c r="M100" i="6"/>
  <c r="L100" i="6"/>
  <c r="A100" i="6"/>
  <c r="M99" i="6"/>
  <c r="L99" i="6"/>
  <c r="A99" i="6"/>
  <c r="M98" i="6"/>
  <c r="L98" i="6"/>
  <c r="A98" i="6"/>
  <c r="M97" i="6"/>
  <c r="L97" i="6"/>
  <c r="A97" i="6"/>
  <c r="M96" i="6"/>
  <c r="L96" i="6"/>
  <c r="A96" i="6"/>
  <c r="M95" i="6"/>
  <c r="L95" i="6"/>
  <c r="A95" i="6"/>
  <c r="M94" i="6"/>
  <c r="L94" i="6"/>
  <c r="A94" i="6"/>
  <c r="M93" i="6"/>
  <c r="L93" i="6"/>
  <c r="A93" i="6"/>
  <c r="M92" i="6"/>
  <c r="L92" i="6"/>
  <c r="A92" i="6"/>
  <c r="M91" i="6"/>
  <c r="L91" i="6"/>
  <c r="A91" i="6"/>
  <c r="M90" i="6"/>
  <c r="L90" i="6"/>
  <c r="A90" i="6"/>
  <c r="M89" i="6"/>
  <c r="L89" i="6"/>
  <c r="A89" i="6"/>
  <c r="M88" i="6"/>
  <c r="L88" i="6"/>
  <c r="A88" i="6"/>
  <c r="M87" i="6"/>
  <c r="L87" i="6"/>
  <c r="A87" i="6"/>
  <c r="M86" i="6"/>
  <c r="L86" i="6"/>
  <c r="A86" i="6"/>
  <c r="M85" i="6"/>
  <c r="L85" i="6"/>
  <c r="A85" i="6"/>
  <c r="M84" i="6"/>
  <c r="L84" i="6"/>
  <c r="A84" i="6"/>
  <c r="M83" i="6"/>
  <c r="L83" i="6"/>
  <c r="A83" i="6"/>
  <c r="M82" i="6"/>
  <c r="L82" i="6"/>
  <c r="A82" i="6"/>
  <c r="M81" i="6"/>
  <c r="L81" i="6"/>
  <c r="A81" i="6"/>
  <c r="M80" i="6"/>
  <c r="L80" i="6"/>
  <c r="A80" i="6"/>
  <c r="M79" i="6"/>
  <c r="L79" i="6"/>
  <c r="A79" i="6"/>
  <c r="M78" i="6"/>
  <c r="L78" i="6"/>
  <c r="A78" i="6"/>
  <c r="M77" i="6"/>
  <c r="L77" i="6"/>
  <c r="A77" i="6"/>
  <c r="M76" i="6"/>
  <c r="L76" i="6"/>
  <c r="A76" i="6"/>
  <c r="M75" i="6"/>
  <c r="L75" i="6"/>
  <c r="A75" i="6"/>
  <c r="M74" i="6"/>
  <c r="L74" i="6"/>
  <c r="A74" i="6"/>
  <c r="M73" i="6"/>
  <c r="L73" i="6"/>
  <c r="A73" i="6"/>
  <c r="M72" i="6"/>
  <c r="L72" i="6"/>
  <c r="A72" i="6"/>
  <c r="M71" i="6"/>
  <c r="L71" i="6"/>
  <c r="A71" i="6"/>
  <c r="M70" i="6"/>
  <c r="L70" i="6"/>
  <c r="A70" i="6"/>
  <c r="M69" i="6"/>
  <c r="L69" i="6"/>
  <c r="A69" i="6"/>
  <c r="M68" i="6"/>
  <c r="L68" i="6"/>
  <c r="A68" i="6"/>
  <c r="M67" i="6"/>
  <c r="L67" i="6"/>
  <c r="A67" i="6"/>
  <c r="M66" i="6"/>
  <c r="L66" i="6"/>
  <c r="A66" i="6"/>
  <c r="M65" i="6"/>
  <c r="L65" i="6"/>
  <c r="A65" i="6"/>
  <c r="M64" i="6"/>
  <c r="L64" i="6"/>
  <c r="A64" i="6"/>
  <c r="M63" i="6"/>
  <c r="L63" i="6"/>
  <c r="A63" i="6"/>
  <c r="M62" i="6"/>
  <c r="L62" i="6"/>
  <c r="A62" i="6"/>
  <c r="M61" i="6"/>
  <c r="L61" i="6"/>
  <c r="A61" i="6"/>
  <c r="M60" i="6"/>
  <c r="L60" i="6"/>
  <c r="A60" i="6"/>
  <c r="M59" i="6"/>
  <c r="L59" i="6"/>
  <c r="A59" i="6"/>
  <c r="M58" i="6"/>
  <c r="L58" i="6"/>
  <c r="A58" i="6"/>
  <c r="M57" i="6"/>
  <c r="L57" i="6"/>
  <c r="A57" i="6"/>
  <c r="M56" i="6"/>
  <c r="L56" i="6"/>
  <c r="A56" i="6"/>
  <c r="M55" i="6"/>
  <c r="L55" i="6"/>
  <c r="A55" i="6"/>
  <c r="M54" i="6"/>
  <c r="L54" i="6"/>
  <c r="A54" i="6"/>
  <c r="M53" i="6"/>
  <c r="L53" i="6"/>
  <c r="A53" i="6"/>
  <c r="M52" i="6"/>
  <c r="L52" i="6"/>
  <c r="A52" i="6"/>
  <c r="M51" i="6"/>
  <c r="L51" i="6"/>
  <c r="A51" i="6"/>
  <c r="M50" i="6"/>
  <c r="L50" i="6"/>
  <c r="A50" i="6"/>
  <c r="M49" i="6"/>
  <c r="L49" i="6"/>
  <c r="A49" i="6"/>
  <c r="M48" i="6"/>
  <c r="L48" i="6"/>
  <c r="A48" i="6"/>
  <c r="M47" i="6"/>
  <c r="L47" i="6"/>
  <c r="A47" i="6"/>
  <c r="M46" i="6"/>
  <c r="L46" i="6"/>
  <c r="A46" i="6"/>
  <c r="M45" i="6"/>
  <c r="L45" i="6"/>
  <c r="A45" i="6"/>
  <c r="M44" i="6"/>
  <c r="L44" i="6"/>
  <c r="A44" i="6"/>
  <c r="M43" i="6"/>
  <c r="L43" i="6"/>
  <c r="A43" i="6"/>
  <c r="M42" i="6"/>
  <c r="L42" i="6"/>
  <c r="A42" i="6"/>
  <c r="M41" i="6"/>
  <c r="L41" i="6"/>
  <c r="A41" i="6"/>
  <c r="M40" i="6"/>
  <c r="L40" i="6"/>
  <c r="A40" i="6"/>
  <c r="M39" i="6"/>
  <c r="L39" i="6"/>
  <c r="A39" i="6"/>
  <c r="M38" i="6"/>
  <c r="L38" i="6"/>
  <c r="A38" i="6"/>
  <c r="M37" i="6"/>
  <c r="L37" i="6"/>
  <c r="A37" i="6"/>
  <c r="M36" i="6"/>
  <c r="L36" i="6"/>
  <c r="A36" i="6"/>
  <c r="M35" i="6"/>
  <c r="L35" i="6"/>
  <c r="A35" i="6"/>
  <c r="M34" i="6"/>
  <c r="L34" i="6"/>
  <c r="A34" i="6"/>
  <c r="M33" i="6"/>
  <c r="L33" i="6"/>
  <c r="A33" i="6"/>
  <c r="M32" i="6"/>
  <c r="L32" i="6"/>
  <c r="A32" i="6"/>
  <c r="M31" i="6"/>
  <c r="L31" i="6"/>
  <c r="A31" i="6"/>
  <c r="M30" i="6"/>
  <c r="L30" i="6"/>
  <c r="A30" i="6"/>
  <c r="M29" i="6"/>
  <c r="L29" i="6"/>
  <c r="A29" i="6"/>
  <c r="M28" i="6"/>
  <c r="L28" i="6"/>
  <c r="A28" i="6"/>
  <c r="M27" i="6"/>
  <c r="L27" i="6"/>
  <c r="A27" i="6"/>
  <c r="M26" i="6"/>
  <c r="L26" i="6"/>
  <c r="A26" i="6"/>
  <c r="M25" i="6"/>
  <c r="L25" i="6"/>
  <c r="A25" i="6"/>
  <c r="M24" i="6"/>
  <c r="L24" i="6"/>
  <c r="A24" i="6"/>
  <c r="M23" i="6"/>
  <c r="L23" i="6"/>
  <c r="A23" i="6"/>
  <c r="M22" i="6"/>
  <c r="L22" i="6"/>
  <c r="A22" i="6"/>
  <c r="M21" i="6"/>
  <c r="L21" i="6"/>
  <c r="A21" i="6"/>
  <c r="M20" i="6"/>
  <c r="L20" i="6"/>
  <c r="A20" i="6"/>
  <c r="M19" i="6"/>
  <c r="L19" i="6"/>
  <c r="A19" i="6"/>
  <c r="M18" i="6"/>
  <c r="L18" i="6"/>
  <c r="A18" i="6"/>
  <c r="M17" i="6"/>
  <c r="L17" i="6"/>
  <c r="A17" i="6"/>
  <c r="M16" i="6"/>
  <c r="L16" i="6"/>
  <c r="A16" i="6"/>
  <c r="M15" i="6"/>
  <c r="L15" i="6"/>
  <c r="A15" i="6"/>
  <c r="M14" i="6"/>
  <c r="L14" i="6"/>
  <c r="A14" i="6"/>
  <c r="M13" i="6"/>
  <c r="L13" i="6"/>
  <c r="A13" i="6"/>
  <c r="M12" i="6"/>
  <c r="L12" i="6"/>
  <c r="A12" i="6"/>
  <c r="M11" i="6"/>
  <c r="L11" i="6"/>
  <c r="A11" i="6"/>
  <c r="M10" i="6"/>
  <c r="L10" i="6"/>
  <c r="A10" i="6"/>
  <c r="M9" i="6"/>
  <c r="L9" i="6"/>
  <c r="A9" i="6"/>
  <c r="M8" i="6"/>
  <c r="L8" i="6"/>
  <c r="A8" i="6"/>
  <c r="M7" i="6"/>
  <c r="L7" i="6"/>
  <c r="A7" i="6"/>
  <c r="M6" i="6"/>
  <c r="L6" i="6"/>
  <c r="A6" i="6"/>
  <c r="M5" i="6"/>
  <c r="L5" i="6"/>
  <c r="A5" i="6"/>
  <c r="M4" i="6"/>
  <c r="L4" i="6"/>
  <c r="A4" i="6"/>
  <c r="M3" i="6"/>
  <c r="L3" i="6"/>
  <c r="A3" i="6"/>
  <c r="M2" i="6"/>
  <c r="L2" i="6"/>
  <c r="A2"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<sst xmlns="http://schemas.openxmlformats.org/spreadsheetml/2006/main" count="4261" uniqueCount="683">
  <si>
    <t>Name of Organization</t>
  </si>
  <si>
    <t>Gross Receipts</t>
  </si>
  <si>
    <t>Assets</t>
  </si>
  <si>
    <t>City</t>
  </si>
  <si>
    <t>State</t>
  </si>
  <si>
    <t>The Watershed Project</t>
  </si>
  <si>
    <t>CA</t>
  </si>
  <si>
    <t>Richmond</t>
  </si>
  <si>
    <t>San Diego Coastkeeper </t>
  </si>
  <si>
    <t>San Diego</t>
  </si>
  <si>
    <t>Innoceana</t>
  </si>
  <si>
    <t>Kentfield</t>
  </si>
  <si>
    <t>Newport Beach Junior Lifeguard Foundation</t>
  </si>
  <si>
    <t>Costa Mesa</t>
  </si>
  <si>
    <t>Race To Zero Waste</t>
  </si>
  <si>
    <t>South San Francisco</t>
  </si>
  <si>
    <t>EIN</t>
  </si>
  <si>
    <t>83-3305529</t>
  </si>
  <si>
    <t>45-4329874</t>
  </si>
  <si>
    <t>Pacific Beach Community Development Corp</t>
  </si>
  <si>
    <t>33-0587567</t>
  </si>
  <si>
    <t>Save Our Shores</t>
  </si>
  <si>
    <t>Santa Cruz</t>
  </si>
  <si>
    <t>94-2745941</t>
  </si>
  <si>
    <t>Huntington Beach Wetlands Conservancy</t>
  </si>
  <si>
    <t>33-0145660</t>
  </si>
  <si>
    <t>Huntington Beach</t>
  </si>
  <si>
    <t>OCEAN VOYAGES INSTITUTE</t>
  </si>
  <si>
    <t>Sausalito</t>
  </si>
  <si>
    <t>94-2665367</t>
  </si>
  <si>
    <t>LAWRENCE ANTHONY EARTH ORGANIZATION (LAEO)</t>
  </si>
  <si>
    <t>Pine Mountain Club</t>
  </si>
  <si>
    <t>20-1832617</t>
  </si>
  <si>
    <t>WSL PURE</t>
  </si>
  <si>
    <t>Santa Monica</t>
  </si>
  <si>
    <t>47-5161428</t>
  </si>
  <si>
    <t>Tahoe Keys Beach and Harbor Association Inc</t>
  </si>
  <si>
    <t>South Lake Tahoe</t>
  </si>
  <si>
    <t>94-2216915</t>
  </si>
  <si>
    <t>San Luis Obispo</t>
  </si>
  <si>
    <t>23-7213237</t>
  </si>
  <si>
    <t>Carmel Cares</t>
  </si>
  <si>
    <t>85-3432174</t>
  </si>
  <si>
    <t>Carmel</t>
  </si>
  <si>
    <t>Los Cerritos Wetlands Land Tr for Long Beach &amp; Seal Beach</t>
  </si>
  <si>
    <t>Long Beach</t>
  </si>
  <si>
    <t>33-0974992</t>
  </si>
  <si>
    <t>Seascape Beach Association</t>
  </si>
  <si>
    <t>94-1693226</t>
  </si>
  <si>
    <t>Aptos</t>
  </si>
  <si>
    <t>ROB MACHADO FOUNDATION</t>
  </si>
  <si>
    <t>22-3902362</t>
  </si>
  <si>
    <t>Los Angeles</t>
  </si>
  <si>
    <t>Pacific Beach Town Council Inc</t>
  </si>
  <si>
    <t>95-6377791</t>
  </si>
  <si>
    <t>Cabrillo Beach Boosters Incorporated</t>
  </si>
  <si>
    <t>33-0537412</t>
  </si>
  <si>
    <t>San Pedro</t>
  </si>
  <si>
    <t>SURFING MADONNA OCEANS PROJECT </t>
  </si>
  <si>
    <t>45-3042628</t>
  </si>
  <si>
    <t>Encinitas</t>
  </si>
  <si>
    <t>SANTA BARBARA COUNTY TRAILS COUNCIL</t>
  </si>
  <si>
    <t>95-2496099</t>
  </si>
  <si>
    <t>Santa Barbara</t>
  </si>
  <si>
    <t>The SeaChange Agency</t>
  </si>
  <si>
    <t>45-2639830</t>
  </si>
  <si>
    <t>Venice</t>
  </si>
  <si>
    <t>Buckminster Fuller Institute</t>
  </si>
  <si>
    <t>San Francisco</t>
  </si>
  <si>
    <t>95-3273023</t>
  </si>
  <si>
    <t>San Francisco Baykeeper</t>
  </si>
  <si>
    <t>Oakland</t>
  </si>
  <si>
    <t>68-0120240</t>
  </si>
  <si>
    <t>I Love A Clean San Diego</t>
  </si>
  <si>
    <t>95-2566791</t>
  </si>
  <si>
    <t>Heal the Ocean</t>
  </si>
  <si>
    <t>77-0565183</t>
  </si>
  <si>
    <t>New Roots Institute</t>
  </si>
  <si>
    <t>82-4594246</t>
  </si>
  <si>
    <t>The Bill and Ginger Winder Family Foundation Inc</t>
  </si>
  <si>
    <t>83-1159078</t>
  </si>
  <si>
    <t>LITERACY FOR ENVIRONMENTAL JUSTICE</t>
  </si>
  <si>
    <t>01-0777856</t>
  </si>
  <si>
    <t>OCEANIC PRESERVATION SOCIETY</t>
  </si>
  <si>
    <t>Greenbrae</t>
  </si>
  <si>
    <t>38-3891081</t>
  </si>
  <si>
    <t>Call of the Sea</t>
  </si>
  <si>
    <t>94-2951488</t>
  </si>
  <si>
    <t>SAN FRANCISCO BAY BIRD OBSERVATORY</t>
  </si>
  <si>
    <t>94-2788588</t>
  </si>
  <si>
    <t>Milpitas</t>
  </si>
  <si>
    <t>Save California Salmon</t>
  </si>
  <si>
    <t>88-1650309</t>
  </si>
  <si>
    <t>Orleans</t>
  </si>
  <si>
    <t>GREENACTION FOR HEALTH AND ENVIRONMENTAL JUSTICE</t>
  </si>
  <si>
    <t>43-2050242</t>
  </si>
  <si>
    <t>ENDANGERED SPECIES INTERNATIONAL</t>
  </si>
  <si>
    <t>30-0358349</t>
  </si>
  <si>
    <t>The Hydrous</t>
  </si>
  <si>
    <t>46-5112972</t>
  </si>
  <si>
    <t>Environmental Center of SLO (ECOSLO)</t>
  </si>
  <si>
    <t>91-1767292</t>
  </si>
  <si>
    <t>33-0647946</t>
  </si>
  <si>
    <t>84-4780735</t>
  </si>
  <si>
    <t>Contribution &amp; Grants</t>
  </si>
  <si>
    <t>Other Revenue</t>
  </si>
  <si>
    <t>salaries/comp</t>
  </si>
  <si>
    <t>% public support</t>
  </si>
  <si>
    <t>Grant Maker</t>
  </si>
  <si>
    <t>Fiscal Year</t>
  </si>
  <si>
    <t>FY Year</t>
  </si>
  <si>
    <t>$ -</t>
  </si>
  <si>
    <t>Grants and Contributions</t>
  </si>
  <si>
    <t>Total Revenue</t>
  </si>
  <si>
    <t>Total Grants Proportion</t>
  </si>
  <si>
    <t>Compensation of Officers</t>
  </si>
  <si>
    <t>Other Salaries and Wages</t>
  </si>
  <si>
    <t>Total Expenses</t>
  </si>
  <si>
    <t>Net Assets at End</t>
  </si>
  <si>
    <t>Gross Assets</t>
  </si>
  <si>
    <t>Grantmaker</t>
  </si>
  <si>
    <t>2023-12</t>
  </si>
  <si>
    <t>General &amp; Unrestricted</t>
  </si>
  <si>
    <t>2022-12</t>
  </si>
  <si>
    <t>Year-Month</t>
  </si>
  <si>
    <t>Grant Description</t>
  </si>
  <si>
    <t>Description</t>
  </si>
  <si>
    <t>The Watershed Restoration</t>
  </si>
  <si>
    <t>YES Nature to Neighborhoods</t>
  </si>
  <si>
    <t>Richmond Outdoor Coalition</t>
  </si>
  <si>
    <t>2023-08</t>
  </si>
  <si>
    <t>Shipley Foundation</t>
  </si>
  <si>
    <t>General Operating Support</t>
  </si>
  <si>
    <t>Resources Legacy Fund</t>
  </si>
  <si>
    <t>Land Or Marine Conservation, Climate Change, And/or Environ. Equity and Justice.</t>
  </si>
  <si>
    <t>Dorrance Family Foundation</t>
  </si>
  <si>
    <t>To Support Building Capacity To Protect and Restore Mission Bay's Coastal Resources</t>
  </si>
  <si>
    <t>The Marisla Foundation</t>
  </si>
  <si>
    <t>General Support</t>
  </si>
  <si>
    <t>Oneroot Foundation</t>
  </si>
  <si>
    <t>To Provide Scholarships To Eligible Students</t>
  </si>
  <si>
    <t>PayPal Giving Fund</t>
  </si>
  <si>
    <t>Schwab Charitable Fund</t>
  </si>
  <si>
    <t>Human Services</t>
  </si>
  <si>
    <t>2023-06</t>
  </si>
  <si>
    <t>N/A</t>
  </si>
  <si>
    <t>Ecology Center</t>
  </si>
  <si>
    <t>Food Insecurity Nutrition Incentive (Fini) Grant Program</t>
  </si>
  <si>
    <t>AmazonSmile Foundation</t>
  </si>
  <si>
    <t>Community Foundation Santa Cruz County</t>
  </si>
  <si>
    <t>For General Operating Support</t>
  </si>
  <si>
    <t>American Online Giving Foundation</t>
  </si>
  <si>
    <t>2023-03</t>
  </si>
  <si>
    <t>Monterey Peninsula Foundation (MPF)</t>
  </si>
  <si>
    <t>Operating Support</t>
  </si>
  <si>
    <t>The San Diego Foundation</t>
  </si>
  <si>
    <t>LFRR Propagation Program Support</t>
  </si>
  <si>
    <t>Orange County Community Foundation (OCCF)</t>
  </si>
  <si>
    <t>Environment</t>
  </si>
  <si>
    <t>Norman E Alexander Family S Foundation</t>
  </si>
  <si>
    <t>Environmental Purposes</t>
  </si>
  <si>
    <t>Legacy Global Foundation</t>
  </si>
  <si>
    <t>Public Support</t>
  </si>
  <si>
    <t>2021-12</t>
  </si>
  <si>
    <t>Ladybug Foundation</t>
  </si>
  <si>
    <t>Project/program Support - Ocean Cleanup Program</t>
  </si>
  <si>
    <t>The Mental Insight Foundation</t>
  </si>
  <si>
    <t>Charitable</t>
  </si>
  <si>
    <t>Environmental and Animals</t>
  </si>
  <si>
    <t>The Sjouwerman Foundation</t>
  </si>
  <si>
    <t>Kohn Family Corporation</t>
  </si>
  <si>
    <t>2017-07</t>
  </si>
  <si>
    <t>The Natasha and Dirk Ziff Foundation</t>
  </si>
  <si>
    <t>Support Partnership With Columbia University's Ocean Research and Education Programs</t>
  </si>
  <si>
    <t>Fidelity Investments Charitable Gift Fund</t>
  </si>
  <si>
    <t>For Grant Recipient's Exempt Purposes</t>
  </si>
  <si>
    <t>The Priscilla Endicott Charitable Foundation #95-228210</t>
  </si>
  <si>
    <t>General Purpose</t>
  </si>
  <si>
    <t>2022-11</t>
  </si>
  <si>
    <t>Westridge Foundation</t>
  </si>
  <si>
    <t>For Scenic Pathway Improvement and Care</t>
  </si>
  <si>
    <t>The Ayco Charitable Foundation</t>
  </si>
  <si>
    <t>Community &amp; Human Services</t>
  </si>
  <si>
    <t>Environment &amp; Animal Welfare</t>
  </si>
  <si>
    <t>2022-06</t>
  </si>
  <si>
    <t>Los Cerritos Wetlands Conservation &amp; Advocacy</t>
  </si>
  <si>
    <t>National Fish and Wildlife Foundation (NFWF)</t>
  </si>
  <si>
    <t>Zedler Marsh Enhancement</t>
  </si>
  <si>
    <t>2022-09</t>
  </si>
  <si>
    <t>Burns Family Foundation</t>
  </si>
  <si>
    <t>General Operating</t>
  </si>
  <si>
    <t>For the PB Rec Center Mural and Rehab, Emergency Service Appreciation Night, and PBTC Enhancement Committee</t>
  </si>
  <si>
    <t>Rich Charitable Foundation</t>
  </si>
  <si>
    <t>General Program Support</t>
  </si>
  <si>
    <t>Santa Barbara Foundation</t>
  </si>
  <si>
    <t>Recreation, Sports, Leisure, Athletics</t>
  </si>
  <si>
    <t>Lanza Family Foundation</t>
  </si>
  <si>
    <t>The Schmidt Family Foundation (TSFF)</t>
  </si>
  <si>
    <t>Ocean Stewardship and Research</t>
  </si>
  <si>
    <t>Public, Societal Benefit</t>
  </si>
  <si>
    <t>Expanding Environmental Education and Access</t>
  </si>
  <si>
    <t>Ellen Browning Scripps Foundation</t>
  </si>
  <si>
    <t>Funds for Discretionary Use</t>
  </si>
  <si>
    <t>Heller Foundation of San Diego</t>
  </si>
  <si>
    <t>Manitou Fund</t>
  </si>
  <si>
    <t>Oil Well Capping, Homeless Task Force, Sea Level Rise</t>
  </si>
  <si>
    <t>The Patricia and Paul Bragg Foundation</t>
  </si>
  <si>
    <t>General Support for Charity's Purpose</t>
  </si>
  <si>
    <t>Schlinger Family Foundation</t>
  </si>
  <si>
    <t>Vegan Outreach</t>
  </si>
  <si>
    <t>Vegan Outreach, Inc Was the Fiscal Sponsor of Factory Farming Awareness Coalition. the Relationship Ceased Effective July 1, 2018. This Grant Represents All Monies Which Had Been Accumulated for Ffac Activities and Was Distributed To Ffac.</t>
  </si>
  <si>
    <t>2019-06</t>
  </si>
  <si>
    <t>Vanguard Charitable Endowment Program</t>
  </si>
  <si>
    <t>For Recipient's Exempt Purpose</t>
  </si>
  <si>
    <t>Builders Initiative Foundation</t>
  </si>
  <si>
    <t>To Support General Operations With Emphasis on Midwestern Operations</t>
  </si>
  <si>
    <t>Bella Vista Foundation</t>
  </si>
  <si>
    <t>Eco-Adventure Program</t>
  </si>
  <si>
    <t>American Endowment Foundation</t>
  </si>
  <si>
    <t>Youth Devel</t>
  </si>
  <si>
    <t>The Henry Mayo Newhall Foundation</t>
  </si>
  <si>
    <t>For the Eco-Apprentices Program</t>
  </si>
  <si>
    <t>Holtzman Wildlife Foundation</t>
  </si>
  <si>
    <t>Film That Offers Solutions To the Plastic Pollution Problem</t>
  </si>
  <si>
    <t>10-25 Tomorrow Foundation</t>
  </si>
  <si>
    <t>General</t>
  </si>
  <si>
    <t>Hearst Foundations</t>
  </si>
  <si>
    <t>To Support Operations</t>
  </si>
  <si>
    <t>The William H Donner Foundation</t>
  </si>
  <si>
    <t>2023-10</t>
  </si>
  <si>
    <t>National Fish and Wildlife Foundation</t>
  </si>
  <si>
    <t>Bay Habitat Restoration</t>
  </si>
  <si>
    <t>2023-09</t>
  </si>
  <si>
    <t>Wild Animal Initiative</t>
  </si>
  <si>
    <t>To Funds Academic Research on High-Priority Questions in Wild Animal Welfare.</t>
  </si>
  <si>
    <t>California Wellness Foundation</t>
  </si>
  <si>
    <t>For Core Operating Support To Sustain Health Education and Public Policy Efforts To Improve the Health of Rural Tribal Communities in California.</t>
  </si>
  <si>
    <t>William and Flora Hewlett Foundation</t>
  </si>
  <si>
    <t>Supporting Local Communities</t>
  </si>
  <si>
    <t>Sierra Health Foundation Center for Health Program Management</t>
  </si>
  <si>
    <t>National Philanthropic Trust</t>
  </si>
  <si>
    <t>Environment, Animals</t>
  </si>
  <si>
    <t>The California Endowment</t>
  </si>
  <si>
    <t>General Operating Support: To Support An Organization That Supports Resident Power Building and Collaborative Advocacy in Community Efforts To Address Environmental Hazards That Are Detrimental To the Health of Rural and Small Communities Across Kings and Kern Counties.</t>
  </si>
  <si>
    <t>The Jake Foundation</t>
  </si>
  <si>
    <t>2024-05</t>
  </si>
  <si>
    <t>Pledgeling Foundation</t>
  </si>
  <si>
    <t>2021-06</t>
  </si>
  <si>
    <t>Amount</t>
  </si>
  <si>
    <t>Term</t>
  </si>
  <si>
    <t>EIN (Employer Identification Number)</t>
  </si>
  <si>
    <t>A unique nine-digit number assigned by the IRS to identify the nonprofit organization.</t>
  </si>
  <si>
    <t>FY Year (Fiscal Year)</t>
  </si>
  <si>
    <t>The organization's financial reporting period, typically spanning 12 months.</t>
  </si>
  <si>
    <t>Employee Name</t>
  </si>
  <si>
    <t>The name of an individual reported on the form as part of the organization's staff.</t>
  </si>
  <si>
    <t>Title</t>
  </si>
  <si>
    <t>The role or job title of the employee, such as CEO, CFO, or Program Manager.</t>
  </si>
  <si>
    <t>Average Hours per Week</t>
  </si>
  <si>
    <t>The average number of hours per week the employee worked during the fiscal year.</t>
  </si>
  <si>
    <t>Type of Employee</t>
  </si>
  <si>
    <t>Categorization of the employee, such as "Key Employee," "Independent Contractor," or "Other Employee."</t>
  </si>
  <si>
    <t>Number of Employees</t>
  </si>
  <si>
    <t>The total number of employees working for the organization.</t>
  </si>
  <si>
    <t>The amount paid to officers, directors, or key employees of the organization.</t>
  </si>
  <si>
    <t>Government Grants</t>
  </si>
  <si>
    <t>Funds received from government agencies to support the organization's programs or operations.</t>
  </si>
  <si>
    <t>Corporate Grants</t>
  </si>
  <si>
    <t>Contributions received from corporations to fund operations or specific programs.</t>
  </si>
  <si>
    <t>Contributions and Grants</t>
  </si>
  <si>
    <t>Total revenue from all contributions and grants, including individual, corporate, and government sources.</t>
  </si>
  <si>
    <t>Revenue generated from activities unrelated to contributions or grants, such as program fees or sales.</t>
  </si>
  <si>
    <t>Net Assets</t>
  </si>
  <si>
    <t>The organization's total assets minus liabilities, representing its financial health.</t>
  </si>
  <si>
    <t>Public Support Percentage</t>
  </si>
  <si>
    <t>A calculated metric indicating the proportion of funding received from public sources.</t>
  </si>
  <si>
    <t>Independent Contractors</t>
  </si>
  <si>
    <t>Non-employees contracted to provide services to the organization.</t>
  </si>
  <si>
    <t>Sections of Form 990</t>
  </si>
  <si>
    <t>Section</t>
  </si>
  <si>
    <t>Part I: Summary</t>
  </si>
  <si>
    <t>Provides an overview of the organization’s mission, programs, and key financial information.</t>
  </si>
  <si>
    <t>Part II: Signature Block</t>
  </si>
  <si>
    <t>Contains the signatures of officers certifying the accuracy of the information.</t>
  </si>
  <si>
    <t>Part III: Program Service Accomplishments</t>
  </si>
  <si>
    <t>Describes the organization’s main programs and their outcomes.</t>
  </si>
  <si>
    <t>Part IV: Checklist of Required Schedules</t>
  </si>
  <si>
    <t>Indicates which supplementary schedules are included with the form.</t>
  </si>
  <si>
    <t>Part VII: Compensation</t>
  </si>
  <si>
    <t>Details about compensation paid to officers, directors, trustees, and key employees.</t>
  </si>
  <si>
    <t>Part VIII: Statement of Revenue</t>
  </si>
  <si>
    <t>Breaks down revenue sources, including contributions, grants, and other income.</t>
  </si>
  <si>
    <t>Part IX: Statement of Functional Expenses</t>
  </si>
  <si>
    <t>Provides a detailed breakdown of expenses by program, management, and fundraising activities.</t>
  </si>
  <si>
    <t>Schedule B</t>
  </si>
  <si>
    <t>Lists contributors who donated above a specific threshold during the fiscal year.</t>
  </si>
  <si>
    <t>Schedule J</t>
  </si>
  <si>
    <t>Includes detailed compensation information for certain high-paid employees.</t>
  </si>
  <si>
    <t>Schedule O</t>
  </si>
  <si>
    <t>Provides supplemental information for other parts of the form.</t>
  </si>
  <si>
    <t>Name</t>
  </si>
  <si>
    <t>Position</t>
  </si>
  <si>
    <t>Compensation</t>
  </si>
  <si>
    <t>Related</t>
  </si>
  <si>
    <t>Other</t>
  </si>
  <si>
    <t>Juliana Gonzalez</t>
  </si>
  <si>
    <t>Executive Director</t>
  </si>
  <si>
    <t>Derek Hitchcock</t>
  </si>
  <si>
    <t>Board Member</t>
  </si>
  <si>
    <t>Paul Randall</t>
  </si>
  <si>
    <t>Treasurer</t>
  </si>
  <si>
    <t>Carrie Strohl</t>
  </si>
  <si>
    <t>Board Chair</t>
  </si>
  <si>
    <t>Nancy Greenan Hamill</t>
  </si>
  <si>
    <t>Jeannie Kohl</t>
  </si>
  <si>
    <t>Secretary</t>
  </si>
  <si>
    <t>San Diego Coastkeeper</t>
  </si>
  <si>
    <t>Phillip Musegaas</t>
  </si>
  <si>
    <t>Matt O'malley</t>
  </si>
  <si>
    <t>Cindy Lin</t>
  </si>
  <si>
    <t>President</t>
  </si>
  <si>
    <t>Lee Duran</t>
  </si>
  <si>
    <t>Diane Castaneda</t>
  </si>
  <si>
    <t>Michael Torti</t>
  </si>
  <si>
    <t>Vice President</t>
  </si>
  <si>
    <t>Tyler Hee</t>
  </si>
  <si>
    <t>Director</t>
  </si>
  <si>
    <t>Bruce Reznick</t>
  </si>
  <si>
    <t>Joe Callahan</t>
  </si>
  <si>
    <t>Matt O'Malley</t>
  </si>
  <si>
    <t>Taya Lazootin</t>
  </si>
  <si>
    <t>Jack Brown</t>
  </si>
  <si>
    <t>Glen Schmidt</t>
  </si>
  <si>
    <t>Elizabeth Taylor</t>
  </si>
  <si>
    <t>Everett Delano</t>
  </si>
  <si>
    <t>Carlos Mallo Molina</t>
  </si>
  <si>
    <t>Benjamin Cain</t>
  </si>
  <si>
    <t>Eric Larsen</t>
  </si>
  <si>
    <t>Karyna Duran</t>
  </si>
  <si>
    <t>Secretary (Through 6/30/22)</t>
  </si>
  <si>
    <t>Laura Vanopdenbosch</t>
  </si>
  <si>
    <t>Treasurer (Through 6/30/22)</t>
  </si>
  <si>
    <t>Graham Harvey</t>
  </si>
  <si>
    <t>Christopher Seib</t>
  </si>
  <si>
    <t>Trever Gregory</t>
  </si>
  <si>
    <t>Teresa Bradley</t>
  </si>
  <si>
    <t>President &amp; CEO</t>
  </si>
  <si>
    <t>Jeff Tuite</t>
  </si>
  <si>
    <t>Hayden Sloan</t>
  </si>
  <si>
    <t>Marria Evbuoma</t>
  </si>
  <si>
    <t>Andrew De Los Santos</t>
  </si>
  <si>
    <t>Daniella Menendez</t>
  </si>
  <si>
    <t>Alejandra Warren</t>
  </si>
  <si>
    <t>Kirk Kunihiro</t>
  </si>
  <si>
    <t>Eric Marenburg</t>
  </si>
  <si>
    <t>Randall Engstrom</t>
  </si>
  <si>
    <t>Wilber Lai</t>
  </si>
  <si>
    <t>Margy Goodman</t>
  </si>
  <si>
    <t>Tim Pruesener</t>
  </si>
  <si>
    <t>Mark Morris</t>
  </si>
  <si>
    <t>William Ramirez</t>
  </si>
  <si>
    <t>Amber Lighty</t>
  </si>
  <si>
    <t>Erica Donnelly Greenan</t>
  </si>
  <si>
    <t>Executive Dir.</t>
  </si>
  <si>
    <t>Michael Jones</t>
  </si>
  <si>
    <t>Tristan Kaas</t>
  </si>
  <si>
    <t>Chairman</t>
  </si>
  <si>
    <t>Katherine O'dea</t>
  </si>
  <si>
    <t>Rich Vicenti</t>
  </si>
  <si>
    <t>Zembal Richard</t>
  </si>
  <si>
    <t>Brodt Jacqueline</t>
  </si>
  <si>
    <t>Guido Dave</t>
  </si>
  <si>
    <t>Chair</t>
  </si>
  <si>
    <t>Gardiner Greg</t>
  </si>
  <si>
    <t>Ocean Voyages Institute</t>
  </si>
  <si>
    <t>Mary T Crowley</t>
  </si>
  <si>
    <t>Ann Nichols</t>
  </si>
  <si>
    <t>Conrad Gann</t>
  </si>
  <si>
    <t>The Earth Organization</t>
  </si>
  <si>
    <t>Tigran Sadoyan</t>
  </si>
  <si>
    <t>Barbara Wiseman</t>
  </si>
  <si>
    <t>Arlin Howles</t>
  </si>
  <si>
    <t>Diane Wagenbrenner</t>
  </si>
  <si>
    <t>Deborah Schreib</t>
  </si>
  <si>
    <t>Bill Butler</t>
  </si>
  <si>
    <t>Ray Mckay</t>
  </si>
  <si>
    <t>Stan Gerson</t>
  </si>
  <si>
    <t>Wsl Pure</t>
  </si>
  <si>
    <t>Michael Anders</t>
  </si>
  <si>
    <t>Peter De Menocal</t>
  </si>
  <si>
    <t>David Saltzman</t>
  </si>
  <si>
    <t>Peter Demenocal</t>
  </si>
  <si>
    <t>Erik Logan</t>
  </si>
  <si>
    <t>Tahoe Keys Beach And Harbor Association Inc</t>
  </si>
  <si>
    <t>Tim Flanagan</t>
  </si>
  <si>
    <t>Debbie Goodyear</t>
  </si>
  <si>
    <t>Doug Scott</t>
  </si>
  <si>
    <t>David Borges</t>
  </si>
  <si>
    <t>Dave Zajac</t>
  </si>
  <si>
    <t>Gene Bellisario</t>
  </si>
  <si>
    <t>Dennis R Wright</t>
  </si>
  <si>
    <t>Debra J Goodyear</t>
  </si>
  <si>
    <t>Environmental Center of San Luis Obispo</t>
  </si>
  <si>
    <t>Anna Talken</t>
  </si>
  <si>
    <t>Co Chair</t>
  </si>
  <si>
    <t>Marissa Miller</t>
  </si>
  <si>
    <t>Cassie Olovsson</t>
  </si>
  <si>
    <t>Co Treasurer</t>
  </si>
  <si>
    <t>Nicole Sisneros</t>
  </si>
  <si>
    <t>Andrea Biniskiewicz</t>
  </si>
  <si>
    <t>Christopher Hamma</t>
  </si>
  <si>
    <t>Vice Chair</t>
  </si>
  <si>
    <t>Krista Burke</t>
  </si>
  <si>
    <t>Melody Demeritt</t>
  </si>
  <si>
    <t>Sean Murphy</t>
  </si>
  <si>
    <t>Dale Byrne</t>
  </si>
  <si>
    <t>Tea Yengst</t>
  </si>
  <si>
    <t>Chief Financial Officer</t>
  </si>
  <si>
    <t>Brian Sours</t>
  </si>
  <si>
    <t>Tim Allen</t>
  </si>
  <si>
    <t>Margaret Byrne</t>
  </si>
  <si>
    <t>Treasurer and Secretary</t>
  </si>
  <si>
    <t>Los Cerritos Wetlands Land Tr For Long Beach &amp; Seal Beach</t>
  </si>
  <si>
    <t>Laurie Smith</t>
  </si>
  <si>
    <t>Tom Mayes</t>
  </si>
  <si>
    <t>Dorothy Johnson</t>
  </si>
  <si>
    <t>Los Cerritos Wetlands Land Trust for Long Beach &amp; Seal Beach</t>
  </si>
  <si>
    <t>David Michalik</t>
  </si>
  <si>
    <t>Dianne Sundstrom</t>
  </si>
  <si>
    <t>Los Cerritos Wetlands Land Trust</t>
  </si>
  <si>
    <t>Elizabeth Lambe</t>
  </si>
  <si>
    <t>Connie Warner</t>
  </si>
  <si>
    <t>Pat Bliss</t>
  </si>
  <si>
    <t>Janice Dahl</t>
  </si>
  <si>
    <t>Paul Carrubba</t>
  </si>
  <si>
    <t>Mark Lewis</t>
  </si>
  <si>
    <t>Bill Witmer</t>
  </si>
  <si>
    <t>Bob Burick</t>
  </si>
  <si>
    <t>Steve Di Bartlolmeo</t>
  </si>
  <si>
    <t>John Frye</t>
  </si>
  <si>
    <t>Katherine Mc Kee</t>
  </si>
  <si>
    <t>Rob Machado Foundation</t>
  </si>
  <si>
    <t>Justine Chiara</t>
  </si>
  <si>
    <t>Rob Machado</t>
  </si>
  <si>
    <t>Co-Founder</t>
  </si>
  <si>
    <t>Carolyn Whitehouse</t>
  </si>
  <si>
    <t>Executive Director/Chair</t>
  </si>
  <si>
    <t>Pacific Beach Town Council Inc.</t>
  </si>
  <si>
    <t>Charlie Nieto</t>
  </si>
  <si>
    <t>Liz Garcia</t>
  </si>
  <si>
    <t>Matthew Glassman</t>
  </si>
  <si>
    <t>Cathie Jolley</t>
  </si>
  <si>
    <t>Michael Herndon</t>
  </si>
  <si>
    <t>Marcella Bothwell</t>
  </si>
  <si>
    <t>Karl Rand</t>
  </si>
  <si>
    <t>Denise Friedman</t>
  </si>
  <si>
    <t>Brian White</t>
  </si>
  <si>
    <t>Greg Daunaras</t>
  </si>
  <si>
    <t>Cabrillo Beach Boosters Inc.</t>
  </si>
  <si>
    <t>Gary Dwight</t>
  </si>
  <si>
    <t>John Sestich</t>
  </si>
  <si>
    <t>Rondalyn Iacono</t>
  </si>
  <si>
    <t>Secretary/Treasurer</t>
  </si>
  <si>
    <t>Daniel Meisser</t>
  </si>
  <si>
    <t>Surfing Madonna Oceans Project</t>
  </si>
  <si>
    <t>Mike Redman</t>
  </si>
  <si>
    <t>Max Wittenberg</t>
  </si>
  <si>
    <t>Patti M Walsh</t>
  </si>
  <si>
    <t>Cathy Carey</t>
  </si>
  <si>
    <t>Megan M Mc Carthy</t>
  </si>
  <si>
    <t>Past VP</t>
  </si>
  <si>
    <t>Mark Patterson</t>
  </si>
  <si>
    <t>Vice Chairman</t>
  </si>
  <si>
    <t>Robert Nichols</t>
  </si>
  <si>
    <t>CEO/Chairman</t>
  </si>
  <si>
    <t>Executive Director/CFO</t>
  </si>
  <si>
    <t>Megan Mccarthy</t>
  </si>
  <si>
    <t>Brad Hanson</t>
  </si>
  <si>
    <t>Santa Barbara County Trails Council</t>
  </si>
  <si>
    <t>Mark Wilkinson</t>
  </si>
  <si>
    <t>Otis Calef</t>
  </si>
  <si>
    <t>Dan Gira</t>
  </si>
  <si>
    <t>Kevin Wallace</t>
  </si>
  <si>
    <t>Paul Herning</t>
  </si>
  <si>
    <t>Seachange Agency</t>
  </si>
  <si>
    <t>Brock Cahill</t>
  </si>
  <si>
    <t>Erin Politz</t>
  </si>
  <si>
    <t>Andrew Benavides</t>
  </si>
  <si>
    <t>Chief of Operations</t>
  </si>
  <si>
    <t>Dylan Drew</t>
  </si>
  <si>
    <t>Financial Officer</t>
  </si>
  <si>
    <t>Stuart Cowan</t>
  </si>
  <si>
    <t>Faith Flanigan</t>
  </si>
  <si>
    <t>Operations Director</t>
  </si>
  <si>
    <t>Amanda Ravenhill</t>
  </si>
  <si>
    <t>Elizabeth Thompson</t>
  </si>
  <si>
    <t>David Mc Conville</t>
  </si>
  <si>
    <t>Baykeeper</t>
  </si>
  <si>
    <t>Sejal Choksi Chugh</t>
  </si>
  <si>
    <t>Eliet Henderson</t>
  </si>
  <si>
    <t>Development Director</t>
  </si>
  <si>
    <t>Mark Westlund</t>
  </si>
  <si>
    <t>Communication Director</t>
  </si>
  <si>
    <t>Jonathan Rosenfield</t>
  </si>
  <si>
    <t>Senior Scientist</t>
  </si>
  <si>
    <t>Jeremy Nelson</t>
  </si>
  <si>
    <t>Finance &amp; Admin Director</t>
  </si>
  <si>
    <t>Kirsten Anderson</t>
  </si>
  <si>
    <t>Erica Maharg</t>
  </si>
  <si>
    <t>Managing Attorney</t>
  </si>
  <si>
    <t>I Love A Clean San Diego County Inc</t>
  </si>
  <si>
    <t>Steve Morris</t>
  </si>
  <si>
    <t>Kenneth Moore</t>
  </si>
  <si>
    <t>Denise Price</t>
  </si>
  <si>
    <t>Len Hering</t>
  </si>
  <si>
    <t>Natalie Decarli</t>
  </si>
  <si>
    <t>Interim Executive Director</t>
  </si>
  <si>
    <t>Pauline Martinson</t>
  </si>
  <si>
    <t>Heal The Ocean</t>
  </si>
  <si>
    <t>Hillary Hauser</t>
  </si>
  <si>
    <t>Jean Michel Cousteau</t>
  </si>
  <si>
    <t>Charles Vinick</t>
  </si>
  <si>
    <t>Thomas Dabney</t>
  </si>
  <si>
    <t>Monica Chen</t>
  </si>
  <si>
    <t>Jesse Tandler</t>
  </si>
  <si>
    <t>Managing Director</t>
  </si>
  <si>
    <t>Bonnie Brown</t>
  </si>
  <si>
    <t>Treasurer &amp; Secretary</t>
  </si>
  <si>
    <t>Dr. Verena Rossa Roccor</t>
  </si>
  <si>
    <t>Board Secretary</t>
  </si>
  <si>
    <t>Katherine Cantrell</t>
  </si>
  <si>
    <t>Board Co-Chair</t>
  </si>
  <si>
    <t>Gabriel Wildgen</t>
  </si>
  <si>
    <t>Katie Cantrell</t>
  </si>
  <si>
    <t>Clare Ellis</t>
  </si>
  <si>
    <t>The Bill And Ginger Winder Family Foundation</t>
  </si>
  <si>
    <t>William C. Winder</t>
  </si>
  <si>
    <t>Janet Winder Steed</t>
  </si>
  <si>
    <t>W David Winder</t>
  </si>
  <si>
    <t>Edward A. Winder</t>
  </si>
  <si>
    <t>Literacy for Environmental Justice</t>
  </si>
  <si>
    <t>Hollis Pierce</t>
  </si>
  <si>
    <t>Patrick M Rump</t>
  </si>
  <si>
    <t>Patrick Rump</t>
  </si>
  <si>
    <t>Oceanic Preservation Society</t>
  </si>
  <si>
    <t>Louie Psihoyos</t>
  </si>
  <si>
    <t>Executive Director/CEO</t>
  </si>
  <si>
    <t>Samara Stein</t>
  </si>
  <si>
    <t>Chief Operating Officer</t>
  </si>
  <si>
    <t>Matthew Stamm</t>
  </si>
  <si>
    <t>Associate Editor</t>
  </si>
  <si>
    <t>Jenn Nolan</t>
  </si>
  <si>
    <t>Deb Adams</t>
  </si>
  <si>
    <t>Mark Welther</t>
  </si>
  <si>
    <t>CEO</t>
  </si>
  <si>
    <t>John Arens</t>
  </si>
  <si>
    <t>Steven Woodside</t>
  </si>
  <si>
    <t>Theresa Brandner</t>
  </si>
  <si>
    <t>Alan Olson</t>
  </si>
  <si>
    <t>Terry Causey</t>
  </si>
  <si>
    <t>Chris Gallagher</t>
  </si>
  <si>
    <t>David Anderson</t>
  </si>
  <si>
    <t>Treasurer/Deputy Dir.</t>
  </si>
  <si>
    <t>Charles Hart</t>
  </si>
  <si>
    <t>Stephen Gertz</t>
  </si>
  <si>
    <t>Chairman/Interim Executive Director</t>
  </si>
  <si>
    <t>Jim Simpson</t>
  </si>
  <si>
    <t>Project Director/Co-Founder</t>
  </si>
  <si>
    <t>Angela Lackey</t>
  </si>
  <si>
    <t>San Francisco Bay Bird Observatory</t>
  </si>
  <si>
    <t>Chris Overington</t>
  </si>
  <si>
    <t>Lynne A Trulio</t>
  </si>
  <si>
    <t>Co President</t>
  </si>
  <si>
    <t>Bruce Paton</t>
  </si>
  <si>
    <t>Yiwei Wang</t>
  </si>
  <si>
    <t>Brian Fullfrost</t>
  </si>
  <si>
    <t>Lynne Trulio</t>
  </si>
  <si>
    <t>Stephanie Ellis</t>
  </si>
  <si>
    <t>Catherine Burns</t>
  </si>
  <si>
    <t>Director/Former Executive Director</t>
  </si>
  <si>
    <t>Jan Hintermeister</t>
  </si>
  <si>
    <t>Dr. Cutcha Risling Baldy</t>
  </si>
  <si>
    <t>Morning Star Gali</t>
  </si>
  <si>
    <t>Brittani Orona</t>
  </si>
  <si>
    <t>Unknown</t>
  </si>
  <si>
    <t>Greenaction For Health And Environmental Justice</t>
  </si>
  <si>
    <t>Bradley Angel</t>
  </si>
  <si>
    <t>Alfredo Figueroa</t>
  </si>
  <si>
    <t>Teresa Johnson</t>
  </si>
  <si>
    <t>Zsea Bowmani</t>
  </si>
  <si>
    <t>David Harper</t>
  </si>
  <si>
    <t>Lori Thomas Riddle</t>
  </si>
  <si>
    <t>John Mataka</t>
  </si>
  <si>
    <t>Board Treasurer</t>
  </si>
  <si>
    <t>Annie Loya</t>
  </si>
  <si>
    <t>Endangered Species International</t>
  </si>
  <si>
    <t>Pierre Fidenci</t>
  </si>
  <si>
    <t>Chris Giorni</t>
  </si>
  <si>
    <t>Andreas Rytz</t>
  </si>
  <si>
    <t>Communication Officer</t>
  </si>
  <si>
    <t>Executive Officer</t>
  </si>
  <si>
    <t>Tony Iwane</t>
  </si>
  <si>
    <t>Officer</t>
  </si>
  <si>
    <t>Dr. Erika Woolsey Peterson</t>
  </si>
  <si>
    <t>Andrea Celeste Contreras</t>
  </si>
  <si>
    <t>Kristina Woolsey</t>
  </si>
  <si>
    <t>Erika Woolsey</t>
  </si>
  <si>
    <t>Andrea C. Balbuena</t>
  </si>
  <si>
    <t>Wesley Della Volla</t>
  </si>
  <si>
    <t>Kris Severson</t>
  </si>
  <si>
    <t>Erika Woolsley Langbein</t>
  </si>
  <si>
    <t>Pete Niesen</t>
  </si>
  <si>
    <t>Erika Woolsley</t>
  </si>
  <si>
    <t>Nora Hall</t>
  </si>
  <si>
    <t>COO</t>
  </si>
  <si>
    <t>Sylvester Lee</t>
  </si>
  <si>
    <t>83-1241456</t>
  </si>
  <si>
    <t>Pacifica</t>
  </si>
  <si>
    <t>Pacific Beach Coalition</t>
  </si>
  <si>
    <t>Total Grants</t>
  </si>
  <si>
    <t>Total Assets</t>
  </si>
  <si>
    <t>PBC</t>
  </si>
  <si>
    <t>PEER ORGANIZATON</t>
  </si>
  <si>
    <t>Filters</t>
  </si>
  <si>
    <t>Year</t>
  </si>
  <si>
    <t>Peer Organization Parameter</t>
  </si>
  <si>
    <t xml:space="preserve">organization grouping legend </t>
  </si>
  <si>
    <t>Peer organization(name)</t>
  </si>
  <si>
    <t>Row Labels</t>
  </si>
  <si>
    <t>Grand Total</t>
  </si>
  <si>
    <t>Grand ID</t>
  </si>
  <si>
    <t>Grant ID</t>
  </si>
  <si>
    <t>Keep America Beautiful</t>
  </si>
  <si>
    <t>Program Support</t>
  </si>
  <si>
    <t>2023</t>
  </si>
  <si>
    <t>2022</t>
  </si>
  <si>
    <t>2021</t>
  </si>
  <si>
    <t>2017</t>
  </si>
  <si>
    <t>2019</t>
  </si>
  <si>
    <t>2024</t>
  </si>
  <si>
    <t>Sum of Total Revenue</t>
  </si>
  <si>
    <t>Revenue</t>
  </si>
  <si>
    <t>Expenses</t>
  </si>
  <si>
    <t>Net Income</t>
  </si>
  <si>
    <t>org name 1</t>
  </si>
  <si>
    <t xml:space="preserve"> org name 2</t>
  </si>
  <si>
    <t>org name 3</t>
  </si>
  <si>
    <t>% total revenue</t>
  </si>
  <si>
    <t>compensation</t>
  </si>
  <si>
    <t>Select Group Revenue Filter</t>
  </si>
  <si>
    <t>Group 1</t>
  </si>
  <si>
    <t>Group 2</t>
  </si>
  <si>
    <t>Group 3</t>
  </si>
  <si>
    <t>combine averages for 3 years instead of selection due to missing data for some orgs</t>
  </si>
  <si>
    <t>PEERS</t>
  </si>
  <si>
    <t>Avg Total Expenses</t>
  </si>
  <si>
    <t>Avg Other Revenue(Program Service Revenue</t>
  </si>
  <si>
    <t>Avg Contibution and Grants</t>
  </si>
  <si>
    <t>Expense Report KPIS</t>
  </si>
  <si>
    <t>REVENUE</t>
  </si>
  <si>
    <t>EXPENSES</t>
  </si>
  <si>
    <t>Salaries and Compensation, Employee benefits</t>
  </si>
  <si>
    <t>ASSETS</t>
  </si>
  <si>
    <t xml:space="preserve">Total Assets </t>
  </si>
  <si>
    <t>Total Liabilities</t>
  </si>
  <si>
    <t>How are our peers making money?</t>
  </si>
  <si>
    <t xml:space="preserve">Grant: What Type of grants are our peers getting? Governtment or Private? </t>
  </si>
  <si>
    <t>what are the trends for grants?</t>
  </si>
  <si>
    <t>grant amount trends? Govt? private?</t>
  </si>
  <si>
    <t xml:space="preserve">what </t>
  </si>
  <si>
    <t>KPIS</t>
  </si>
  <si>
    <t>What grants do we currently receive n how much</t>
  </si>
  <si>
    <t xml:space="preserve">Avg grant size we receive </t>
  </si>
  <si>
    <t>Avg grant size our peer group receives</t>
  </si>
  <si>
    <t>what category of grants: govt or corporate - # and % - of the grants received, how many are coporate vs govt</t>
  </si>
  <si>
    <t>visualize:</t>
  </si>
  <si>
    <t>what % of total revenue comes from grants</t>
  </si>
  <si>
    <t>what % of total revenue comes from program services</t>
  </si>
  <si>
    <t xml:space="preserve">what % of total expenses is  salaries and wages </t>
  </si>
  <si>
    <t>total compensation= compensation+related+other</t>
  </si>
  <si>
    <t>Avg salary for funding director peer group</t>
  </si>
  <si>
    <t>how is PBC does agaisnt its peers</t>
  </si>
  <si>
    <t>side by side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</si>
</sst>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43" formatCode="_(* #,##0.00_);_(* \(#,##0.00\);_(* &quot;-&quot;??_);_(@_)"/>
  </numFmts>
  <fonts count="10">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rial"/>
      <family val="2"/>
    </font>
    <font>
      <sz val="11"/>
      <color theme="1"/>
      <name val="BlinkMacSystemFont"/>
    </font>
    <font>
      <u/>
      <sz val="11"/>
      <color rgb="FF467886"/>
      <name val="Aptos Narrow"/>
      <family val="2"/>
      <scheme val="minor"/>
    </font>
    <font>
      <u/>
      <sz val="11"/>
      <color rgb="FF1155CC"/>
      <name val="Arial"/>
      <family val="2"/>
    </font>
    <font>
      <b/>
      <sz val="12"/>
      <color theme="1"/>
      <name val="Aptos Narrow"/>
      <family val="2"/>
      <scheme val="minor"/>
    </font>
    <font>
      <sz val="11"/>
      <color rgb="FF1E1E1E"/>
      <name val="LL Akkurat Regular Web"/>
    </font>
  </fonts>
  <fills count="7">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29">
    <xf numFmtId="0" fontId="0" fillId="0" borderId="0" xfId="0"/>
    <xf numFmtId="44" fontId="0" fillId="0" borderId="0" xfId="1" applyFont="1"/>
    <xf numFmtId="0" fontId="2" fillId="0" borderId="0" xfId="0" applyFont="1"/>
    <xf numFmtId="44" fontId="2" fillId="0" borderId="0" xfId="1" applyFont="1"/>
    <xf numFmtId="0" fontId="0" fillId="2" borderId="0" xfId="0" applyFill="1"/>
    <xf numFmtId="44" fontId="0" fillId="2" borderId="0" xfId="1" applyFont="1" applyFill="1"/>
    <xf numFmtId="6" fontId="0" fillId="0" borderId="0" xfId="0" applyNumberFormat="1"/>
    <xf numFmtId="0" fontId="5" fillId="0" borderId="0" xfId="0" applyFont="1" applyAlignment="1">
      <alignment vertical="top" wrapText="1"/>
    </xf>
    <xf numFmtId="0" fontId="3" fillId="0" borderId="0" xfId="2" applyBorder="1"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vertical="top" wrapText="1"/>
    </xf>
    <xf numFmtId="0" fontId="3" fillId="0" borderId="0" xfId="2" applyBorder="1" applyAlignment="1">
      <alignment vertical="top"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8" fillId="0" borderId="0" xfId="0" applyFont="1" applyAlignment="1">
      <alignment vertical="center"/>
    </xf>
    <xf numFmtId="6" fontId="0" fillId="0" borderId="0" xfId="0" applyNumberFormat="1" applyAlignment="1">
      <alignment vertical="center" wrapText="1"/>
    </xf>
    <xf numFmtId="3" fontId="9" fillId="0" borderId="0" xfId="0" applyNumberFormat="1" applyFont="1"/>
    <xf numFmtId="0" fontId="0" fillId="3" borderId="0" xfId="0" applyFill="1"/>
    <xf numFmtId="0" fontId="0" fillId="4" borderId="0" xfId="0" applyFill="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xf>
    <xf numFmtId="0" fontId="0" fillId="5" borderId="0" xfId="0" applyFill="1"/>
    <xf numFmtId="0" fontId="0" fillId="6" borderId="0" xfId="0" applyFill="1" applyAlignment="1">
      <alignment horizontal="center"/>
    </xf>
    <xf numFmtId="8" fontId="0" fillId="0" borderId="0" xfId="0" applyNumberFormat="1"/>
    <xf numFmtId="43" fontId="0" fillId="0" borderId="0" xfId="3" applyFont="1" applyAlignment="1">
      <alignment vertical="center" wrapText="1"/>
    </xf>
  </cellXfs>
  <cellStyles count="4">
    <cellStyle name="Comma" xfId="3" builtinId="3"/>
    <cellStyle name="Currency" xfId="1" builtinId="4"/>
    <cellStyle name="Hyperlink" xfId="2" builtinId="8"/>
    <cellStyle name="Normal" xfId="0" builtinId="0"/>
  </cellStyles>
  <dxfs count="1">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llsa Acha" refreshedDate="45658.719446527779" createdVersion="8" refreshedVersion="8" minRefreshableVersion="3" recordCount="595" xr:uid="{AA52E208-3576-4311-94AF-E83CF79C4C5C}">
  <cacheSource type="worksheet">
    <worksheetSource ref="A1:H596" sheet="Employees"/>
  </cacheSource>
  <cacheFields count="8">
    <cacheField name="EIN" numFmtId="0">
      <sharedItems/>
    </cacheField>
    <cacheField name="Name of Organization" numFmtId="0">
      <sharedItems count="38">
        <s v="The Watershed Project"/>
        <s v="San Diego Coastkeeper"/>
        <s v="Innoceana"/>
        <s v="Newport Beach Junior Lifeguard Foundation"/>
        <s v="Race To Zero Waste"/>
        <s v="Pacific Beach Community Development Corp"/>
        <s v="Save Our Shores"/>
        <s v="Huntington Beach Wetlands Conservancy"/>
        <s v="Ocean Voyages Institute"/>
        <s v="The Earth Organization"/>
        <s v="Wsl Pure"/>
        <s v="Tahoe Keys Beach And Harbor Association Inc"/>
        <s v="Environmental Center of San Luis Obispo"/>
        <s v="Carmel Cares"/>
        <s v="Los Cerritos Wetlands Land Tr For Long Beach &amp; Seal Beach"/>
        <s v="Los Cerritos Wetlands Land Trust for Long Beach &amp; Seal Beach"/>
        <s v="Los Cerritos Wetlands Land Trust"/>
        <s v="Seascape Beach Association"/>
        <s v="Rob Machado Foundation"/>
        <s v="Pacific Beach Town Council Inc."/>
        <s v="Cabrillo Beach Boosters Inc."/>
        <s v="Surfing Madonna Oceans Project"/>
        <s v="Santa Barbara County Trails Council"/>
        <s v="Seachange Agency"/>
        <s v="Buckminster Fuller Institute"/>
        <s v="Baykeeper"/>
        <s v="I Love A Clean San Diego County Inc"/>
        <s v="Heal The Ocean"/>
        <s v="New Roots Institute"/>
        <s v="The Bill And Ginger Winder Family Foundation"/>
        <s v="Literacy for Environmental Justice"/>
        <s v="Oceanic Preservation Society"/>
        <s v="Call of the Sea"/>
        <s v="San Francisco Bay Bird Observatory"/>
        <s v="Save California Salmon"/>
        <s v="Greenaction For Health And Environmental Justice"/>
        <s v="Endangered Species International"/>
        <s v="The Hydrous"/>
      </sharedItems>
    </cacheField>
    <cacheField name="Name" numFmtId="0">
      <sharedItems/>
    </cacheField>
    <cacheField name="Position" numFmtId="0">
      <sharedItems containsBlank="1" count="54">
        <s v="Executive Director"/>
        <s v="Board Member"/>
        <s v="Treasurer"/>
        <s v="Board Chair"/>
        <s v="Secretary"/>
        <s v="President"/>
        <s v="Vice President"/>
        <s v="Director"/>
        <s v="Secretary (Through 6/30/22)"/>
        <s v="Treasurer (Through 6/30/22)"/>
        <s v="President &amp; CEO"/>
        <s v="Executive Dir."/>
        <s v="Chairman"/>
        <s v="Chair"/>
        <m/>
        <s v="Co Chair"/>
        <s v="Co Treasurer"/>
        <s v="Vice Chair"/>
        <s v="Chief Financial Officer"/>
        <s v="Treasurer and Secretary"/>
        <s v="Co-Founder"/>
        <s v="Executive Director/Chair"/>
        <s v="Secretary/Treasurer"/>
        <s v="Past VP"/>
        <s v="Vice Chairman"/>
        <s v="CEO/Chairman"/>
        <s v="Executive Director/CFO"/>
        <s v="Chief of Operations"/>
        <s v="Financial Officer"/>
        <s v="Operations Director"/>
        <s v="Development Director"/>
        <s v="Communication Director"/>
        <s v="Senior Scientist"/>
        <s v="Finance &amp; Admin Director"/>
        <s v="Managing Attorney"/>
        <s v="Interim Executive Director"/>
        <s v="Managing Director"/>
        <s v="Treasurer &amp; Secretary"/>
        <s v="Board Secretary"/>
        <s v="Board Co-Chair"/>
        <s v="Executive Director/CEO"/>
        <s v="Chief Operating Officer"/>
        <s v="Associate Editor"/>
        <s v="CEO"/>
        <s v="Treasurer/Deputy Dir."/>
        <s v="Chairman/Interim Executive Director"/>
        <s v="Project Director/Co-Founder"/>
        <s v="Co President"/>
        <s v="Director/Former Executive Director"/>
        <s v="Board Treasurer"/>
        <s v="Communication Officer"/>
        <s v="Executive Officer"/>
        <s v="Officer"/>
        <s v="COO"/>
      </sharedItems>
    </cacheField>
    <cacheField name="Compensation" numFmtId="6">
      <sharedItems containsSemiMixedTypes="0" containsString="0" containsNumber="1" containsInteger="1" minValue="0" maxValue="225346"/>
    </cacheField>
    <cacheField name="Related" numFmtId="6">
      <sharedItems containsSemiMixedTypes="0" containsString="0" containsNumber="1" containsInteger="1" minValue="0" maxValue="108093"/>
    </cacheField>
    <cacheField name="Other" numFmtId="6">
      <sharedItems containsSemiMixedTypes="0" containsString="0" containsNumber="1" containsInteger="1" minValue="0" maxValue="36199"/>
    </cacheField>
    <cacheField name="FY Year" numFmtId="0">
      <sharedItems containsSemiMixedTypes="0" containsString="0" containsNumber="1" containsInteger="1" minValue="2013" maxValue="20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llsa Acha" refreshedDate="45659.05454513889" createdVersion="8" refreshedVersion="8" minRefreshableVersion="3" recordCount="134" xr:uid="{00784001-A7F0-4E29-A150-A62CB5AAB98F}">
  <cacheSource type="worksheet">
    <worksheetSource ref="A1:O135" sheet="compiled list"/>
  </cacheSource>
  <cacheFields count="15">
    <cacheField name="EIN" numFmtId="0">
      <sharedItems/>
    </cacheField>
    <cacheField name="Name of Organization" numFmtId="0">
      <sharedItems count="37">
        <s v="The Watershed Project"/>
        <s v="San Diego Coastkeeper "/>
        <s v="Innoceana"/>
        <s v="Newport Beach Junior Lifeguard Foundation"/>
        <s v="Race To Zero Waste"/>
        <s v="Pacific Beach Community Development Corp"/>
        <s v="Save Our Shores"/>
        <s v="Huntington Beach Wetlands Conservancy"/>
        <s v="OCEAN VOYAGES INSTITUTE"/>
        <s v="LAWRENCE ANTHONY EARTH ORGANIZATION (LAEO)"/>
        <s v="WSL PURE"/>
        <s v="Tahoe Keys Beach and Harbor Association Inc"/>
        <s v="Environmental Center of SLO (ECOSLO)"/>
        <s v="Carmel Cares"/>
        <s v="Los Cerritos Wetlands Land Tr for Long Beach &amp; Seal Beach"/>
        <s v="Seascape Beach Association"/>
        <s v="ROB MACHADO FOUNDATION"/>
        <s v="Pacific Beach Town Council Inc"/>
        <s v="Cabrillo Beach Boosters Incorporated"/>
        <s v="SURFING MADONNA OCEANS PROJECT "/>
        <s v="SANTA BARBARA COUNTY TRAILS COUNCIL"/>
        <s v="The SeaChange Agency"/>
        <s v="Buckminster Fuller Institute"/>
        <s v="San Francisco Baykeeper"/>
        <s v="I Love A Clean San Diego"/>
        <s v="Heal the Ocean"/>
        <s v="New Roots Institute"/>
        <s v="The Bill and Ginger Winder Family Foundation Inc"/>
        <s v="LITERACY FOR ENVIRONMENTAL JUSTICE"/>
        <s v="OCEANIC PRESERVATION SOCIETY"/>
        <s v="Call of the Sea"/>
        <s v="SAN FRANCISCO BAY BIRD OBSERVATORY"/>
        <s v="Save California Salmon"/>
        <s v="GREENACTION FOR HEALTH AND ENVIRONMENTAL JUSTICE"/>
        <s v="ENDANGERED SPECIES INTERNATIONAL"/>
        <s v="The Hydrous"/>
        <s v="Pacific Beach Coalition"/>
      </sharedItems>
    </cacheField>
    <cacheField name="City" numFmtId="0">
      <sharedItems/>
    </cacheField>
    <cacheField name="State" numFmtId="0">
      <sharedItems/>
    </cacheField>
    <cacheField name="Fiscal Year" numFmtId="0">
      <sharedItems containsSemiMixedTypes="0" containsString="0" containsNumber="1" containsInteger="1" minValue="2019" maxValue="2023" count="5">
        <n v="2022"/>
        <n v="2021"/>
        <n v="2020"/>
        <n v="2019"/>
        <n v="2023"/>
      </sharedItems>
    </cacheField>
    <cacheField name="Grants and Contributions" numFmtId="0">
      <sharedItems containsSemiMixedTypes="0" containsString="0" containsNumber="1" containsInteger="1" minValue="0" maxValue="2972399"/>
    </cacheField>
    <cacheField name="Other Revenue" numFmtId="0">
      <sharedItems containsSemiMixedTypes="0" containsString="0" containsNumber="1" containsInteger="1" minValue="0" maxValue="1306127"/>
    </cacheField>
    <cacheField name="Total Revenue" numFmtId="0">
      <sharedItems containsSemiMixedTypes="0" containsString="0" containsNumber="1" containsInteger="1" minValue="6559" maxValue="3032805"/>
    </cacheField>
    <cacheField name="Total Grants Proportion" numFmtId="0">
      <sharedItems containsSemiMixedTypes="0" containsString="0" containsNumber="1" minValue="0" maxValue="1.02"/>
    </cacheField>
    <cacheField name="Compensation of Officers" numFmtId="0">
      <sharedItems containsSemiMixedTypes="0" containsString="0" containsNumber="1" containsInteger="1" minValue="0" maxValue="312319"/>
    </cacheField>
    <cacheField name="Other Salaries and Wages" numFmtId="0">
      <sharedItems containsSemiMixedTypes="0" containsString="0" containsNumber="1" containsInteger="1" minValue="0" maxValue="990102"/>
    </cacheField>
    <cacheField name="Total Expenses" numFmtId="0">
      <sharedItems containsSemiMixedTypes="0" containsString="0" containsNumber="1" containsInteger="1" minValue="11840" maxValue="2482620"/>
    </cacheField>
    <cacheField name="Net Assets at End" numFmtId="0">
      <sharedItems containsSemiMixedTypes="0" containsString="0" containsNumber="1" containsInteger="1" minValue="-706460" maxValue="9277470"/>
    </cacheField>
    <cacheField name="Gross Receipts" numFmtId="0">
      <sharedItems containsSemiMixedTypes="0" containsString="0" containsNumber="1" containsInteger="1" minValue="44071" maxValue="2942863"/>
    </cacheField>
    <cacheField name="Gross Assets" numFmtId="0">
      <sharedItems containsSemiMixedTypes="0" containsString="0" containsNumber="1" containsInteger="1" minValue="69748" maxValue="912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5">
  <r>
    <s v="91-1767292"/>
    <x v="0"/>
    <s v="Juliana Gonzalez"/>
    <x v="0"/>
    <n v="91698"/>
    <n v="0"/>
    <n v="0"/>
    <n v="2023"/>
  </r>
  <r>
    <s v="91-1767292"/>
    <x v="0"/>
    <s v="Derek Hitchcock"/>
    <x v="1"/>
    <n v="0"/>
    <n v="0"/>
    <n v="0"/>
    <n v="2023"/>
  </r>
  <r>
    <s v="91-1767292"/>
    <x v="0"/>
    <s v="Paul Randall"/>
    <x v="2"/>
    <n v="0"/>
    <n v="0"/>
    <n v="0"/>
    <n v="2023"/>
  </r>
  <r>
    <s v="91-1767292"/>
    <x v="0"/>
    <s v="Carrie Strohl"/>
    <x v="3"/>
    <n v="0"/>
    <n v="0"/>
    <n v="0"/>
    <n v="2023"/>
  </r>
  <r>
    <s v="91-1767292"/>
    <x v="0"/>
    <s v="Nancy Greenan Hamill"/>
    <x v="1"/>
    <n v="0"/>
    <n v="0"/>
    <n v="0"/>
    <n v="2023"/>
  </r>
  <r>
    <s v="91-1767292"/>
    <x v="0"/>
    <s v="Jeannie Kohl"/>
    <x v="4"/>
    <n v="0"/>
    <n v="0"/>
    <n v="0"/>
    <n v="2023"/>
  </r>
  <r>
    <s v="91-1767292"/>
    <x v="0"/>
    <s v="Juliana Gonzalez"/>
    <x v="0"/>
    <n v="85000"/>
    <n v="0"/>
    <n v="0"/>
    <n v="2022"/>
  </r>
  <r>
    <s v="91-1767292"/>
    <x v="0"/>
    <s v="Derek Hitchcock"/>
    <x v="1"/>
    <n v="0"/>
    <n v="0"/>
    <n v="0"/>
    <n v="2022"/>
  </r>
  <r>
    <s v="91-1767292"/>
    <x v="0"/>
    <s v="Paul Randall"/>
    <x v="2"/>
    <n v="0"/>
    <n v="0"/>
    <n v="0"/>
    <n v="2022"/>
  </r>
  <r>
    <s v="91-1767292"/>
    <x v="0"/>
    <s v="Carrie Strohl"/>
    <x v="3"/>
    <n v="0"/>
    <n v="0"/>
    <n v="0"/>
    <n v="2022"/>
  </r>
  <r>
    <s v="91-1767292"/>
    <x v="0"/>
    <s v="Nancy Greenan Hamill"/>
    <x v="1"/>
    <n v="0"/>
    <n v="0"/>
    <n v="0"/>
    <n v="2022"/>
  </r>
  <r>
    <s v="91-1767292"/>
    <x v="0"/>
    <s v="Jeannie Kohl"/>
    <x v="4"/>
    <n v="0"/>
    <n v="0"/>
    <n v="0"/>
    <n v="2022"/>
  </r>
  <r>
    <s v="91-1767292"/>
    <x v="0"/>
    <s v="Juliana Gonzalez"/>
    <x v="0"/>
    <n v="80000"/>
    <n v="0"/>
    <n v="0"/>
    <n v="2021"/>
  </r>
  <r>
    <s v="91-1767292"/>
    <x v="0"/>
    <s v="Derek Hitchcock"/>
    <x v="1"/>
    <n v="0"/>
    <n v="0"/>
    <n v="0"/>
    <n v="2021"/>
  </r>
  <r>
    <s v="91-1767292"/>
    <x v="0"/>
    <s v="Paul Randall"/>
    <x v="2"/>
    <n v="0"/>
    <n v="0"/>
    <n v="0"/>
    <n v="2021"/>
  </r>
  <r>
    <s v="91-1767292"/>
    <x v="0"/>
    <s v="Carrie Strohl"/>
    <x v="3"/>
    <n v="0"/>
    <n v="0"/>
    <n v="0"/>
    <n v="2021"/>
  </r>
  <r>
    <s v="91-1767292"/>
    <x v="0"/>
    <s v="Nancy Greenan Hamill"/>
    <x v="1"/>
    <n v="0"/>
    <n v="0"/>
    <n v="0"/>
    <n v="2021"/>
  </r>
  <r>
    <s v="91-1767292"/>
    <x v="0"/>
    <s v="Jeannie Kohl"/>
    <x v="4"/>
    <n v="0"/>
    <n v="0"/>
    <n v="0"/>
    <n v="2021"/>
  </r>
  <r>
    <s v="91-1767292"/>
    <x v="0"/>
    <s v="Juliana Gonzalez"/>
    <x v="0"/>
    <n v="75000"/>
    <n v="0"/>
    <n v="0"/>
    <n v="2020"/>
  </r>
  <r>
    <s v="91-1767292"/>
    <x v="0"/>
    <s v="Derek Hitchcock"/>
    <x v="1"/>
    <n v="0"/>
    <n v="0"/>
    <n v="0"/>
    <n v="2020"/>
  </r>
  <r>
    <s v="91-1767292"/>
    <x v="0"/>
    <s v="Paul Randall"/>
    <x v="2"/>
    <n v="0"/>
    <n v="0"/>
    <n v="0"/>
    <n v="2020"/>
  </r>
  <r>
    <s v="91-1767292"/>
    <x v="0"/>
    <s v="Carrie Strohl"/>
    <x v="3"/>
    <n v="0"/>
    <n v="0"/>
    <n v="0"/>
    <n v="2020"/>
  </r>
  <r>
    <s v="91-1767292"/>
    <x v="0"/>
    <s v="Nancy Greenan Hamill"/>
    <x v="1"/>
    <n v="0"/>
    <n v="0"/>
    <n v="0"/>
    <n v="2020"/>
  </r>
  <r>
    <s v="91-1767292"/>
    <x v="0"/>
    <s v="Jeannie Kohl"/>
    <x v="4"/>
    <n v="0"/>
    <n v="0"/>
    <n v="0"/>
    <n v="2020"/>
  </r>
  <r>
    <s v="91-1767292"/>
    <x v="0"/>
    <s v="Juliana Gonzalez"/>
    <x v="0"/>
    <n v="70000"/>
    <n v="0"/>
    <n v="0"/>
    <n v="2019"/>
  </r>
  <r>
    <s v="91-1767292"/>
    <x v="0"/>
    <s v="Derek Hitchcock"/>
    <x v="1"/>
    <n v="0"/>
    <n v="0"/>
    <n v="0"/>
    <n v="2019"/>
  </r>
  <r>
    <s v="91-1767292"/>
    <x v="0"/>
    <s v="Paul Randall"/>
    <x v="2"/>
    <n v="0"/>
    <n v="0"/>
    <n v="0"/>
    <n v="2019"/>
  </r>
  <r>
    <s v="91-1767292"/>
    <x v="0"/>
    <s v="Carrie Strohl"/>
    <x v="3"/>
    <n v="0"/>
    <n v="0"/>
    <n v="0"/>
    <n v="2019"/>
  </r>
  <r>
    <s v="91-1767292"/>
    <x v="0"/>
    <s v="Nancy Greenan Hamill"/>
    <x v="1"/>
    <n v="0"/>
    <n v="0"/>
    <n v="0"/>
    <n v="2019"/>
  </r>
  <r>
    <s v="91-1767292"/>
    <x v="0"/>
    <s v="Jeannie Kohl"/>
    <x v="4"/>
    <n v="0"/>
    <n v="0"/>
    <n v="0"/>
    <n v="2019"/>
  </r>
  <r>
    <s v="91-1767292"/>
    <x v="0"/>
    <s v="Juliana Gonzalez"/>
    <x v="0"/>
    <n v="65000"/>
    <n v="0"/>
    <n v="0"/>
    <n v="2018"/>
  </r>
  <r>
    <s v="91-1767292"/>
    <x v="0"/>
    <s v="Derek Hitchcock"/>
    <x v="1"/>
    <n v="0"/>
    <n v="0"/>
    <n v="0"/>
    <n v="2018"/>
  </r>
  <r>
    <s v="91-1767292"/>
    <x v="0"/>
    <s v="Paul Randall"/>
    <x v="2"/>
    <n v="0"/>
    <n v="0"/>
    <n v="0"/>
    <n v="2018"/>
  </r>
  <r>
    <s v="91-1767292"/>
    <x v="0"/>
    <s v="Carrie Strohl"/>
    <x v="3"/>
    <n v="0"/>
    <n v="0"/>
    <n v="0"/>
    <n v="2018"/>
  </r>
  <r>
    <s v="91-1767292"/>
    <x v="0"/>
    <s v="Nancy Greenan Hamill"/>
    <x v="1"/>
    <n v="0"/>
    <n v="0"/>
    <n v="0"/>
    <n v="2018"/>
  </r>
  <r>
    <s v="91-1767292"/>
    <x v="0"/>
    <s v="Jeannie Kohl"/>
    <x v="4"/>
    <n v="0"/>
    <n v="0"/>
    <n v="0"/>
    <n v="2018"/>
  </r>
  <r>
    <s v="33-0647946"/>
    <x v="1"/>
    <s v="Phillip Musegaas"/>
    <x v="0"/>
    <n v="180000"/>
    <n v="0"/>
    <n v="0"/>
    <n v="2023"/>
  </r>
  <r>
    <s v="33-0647946"/>
    <x v="1"/>
    <s v="Matt O'malley"/>
    <x v="0"/>
    <n v="8706"/>
    <n v="0"/>
    <n v="0"/>
    <n v="2023"/>
  </r>
  <r>
    <s v="33-0647946"/>
    <x v="1"/>
    <s v="Cindy Lin"/>
    <x v="5"/>
    <n v="0"/>
    <n v="0"/>
    <n v="0"/>
    <n v="2023"/>
  </r>
  <r>
    <s v="33-0647946"/>
    <x v="1"/>
    <s v="Lee Duran"/>
    <x v="2"/>
    <n v="0"/>
    <n v="0"/>
    <n v="0"/>
    <n v="2023"/>
  </r>
  <r>
    <s v="33-0647946"/>
    <x v="1"/>
    <s v="Diane Castaneda"/>
    <x v="4"/>
    <n v="0"/>
    <n v="0"/>
    <n v="0"/>
    <n v="2023"/>
  </r>
  <r>
    <s v="33-0647946"/>
    <x v="1"/>
    <s v="Michael Torti"/>
    <x v="6"/>
    <n v="0"/>
    <n v="0"/>
    <n v="0"/>
    <n v="2023"/>
  </r>
  <r>
    <s v="33-0647946"/>
    <x v="1"/>
    <s v="Tyler Hee"/>
    <x v="7"/>
    <n v="0"/>
    <n v="0"/>
    <n v="0"/>
    <n v="2023"/>
  </r>
  <r>
    <s v="33-0647946"/>
    <x v="1"/>
    <s v="Bruce Reznick"/>
    <x v="7"/>
    <n v="0"/>
    <n v="0"/>
    <n v="0"/>
    <n v="2023"/>
  </r>
  <r>
    <s v="33-0647946"/>
    <x v="1"/>
    <s v="Joe Callahan"/>
    <x v="7"/>
    <n v="0"/>
    <n v="0"/>
    <n v="0"/>
    <n v="2023"/>
  </r>
  <r>
    <s v="33-0647946"/>
    <x v="1"/>
    <s v="Matt O'malley"/>
    <x v="0"/>
    <n v="211500"/>
    <n v="0"/>
    <n v="0"/>
    <n v="2022"/>
  </r>
  <r>
    <s v="33-0647946"/>
    <x v="1"/>
    <s v="Phillip Musegaas"/>
    <x v="0"/>
    <n v="39095"/>
    <n v="0"/>
    <n v="0"/>
    <n v="2022"/>
  </r>
  <r>
    <s v="33-0647946"/>
    <x v="1"/>
    <s v="Matt O'malley"/>
    <x v="0"/>
    <n v="155000"/>
    <n v="0"/>
    <n v="0"/>
    <n v="2021"/>
  </r>
  <r>
    <s v="33-0647946"/>
    <x v="1"/>
    <s v="Cindy Lin"/>
    <x v="5"/>
    <n v="0"/>
    <n v="0"/>
    <n v="0"/>
    <n v="2021"/>
  </r>
  <r>
    <s v="33-0647946"/>
    <x v="1"/>
    <s v="Matt O'malley"/>
    <x v="0"/>
    <n v="140798"/>
    <n v="0"/>
    <n v="0"/>
    <n v="2020"/>
  </r>
  <r>
    <s v="33-0647946"/>
    <x v="1"/>
    <s v="Cindy Lin"/>
    <x v="6"/>
    <n v="0"/>
    <n v="0"/>
    <n v="0"/>
    <n v="2020"/>
  </r>
  <r>
    <s v="33-0647946"/>
    <x v="1"/>
    <s v="Matt O'malley"/>
    <x v="0"/>
    <n v="111900"/>
    <n v="0"/>
    <n v="0"/>
    <n v="2019"/>
  </r>
  <r>
    <s v="33-0647946"/>
    <x v="1"/>
    <s v="Taya Lazootin"/>
    <x v="7"/>
    <n v="0"/>
    <n v="0"/>
    <n v="0"/>
    <n v="2019"/>
  </r>
  <r>
    <s v="33-0647946"/>
    <x v="1"/>
    <s v="Cindy Lin"/>
    <x v="6"/>
    <n v="0"/>
    <n v="0"/>
    <n v="0"/>
    <n v="2019"/>
  </r>
  <r>
    <s v="33-0647946"/>
    <x v="1"/>
    <s v="Matt O'malley"/>
    <x v="0"/>
    <n v="99860"/>
    <n v="0"/>
    <n v="0"/>
    <n v="2018"/>
  </r>
  <r>
    <s v="33-0647946"/>
    <x v="1"/>
    <s v="Taya Lazootin"/>
    <x v="5"/>
    <n v="0"/>
    <n v="0"/>
    <n v="0"/>
    <n v="2018"/>
  </r>
  <r>
    <s v="33-0647946"/>
    <x v="1"/>
    <s v="Jack Brown"/>
    <x v="6"/>
    <n v="0"/>
    <n v="0"/>
    <n v="0"/>
    <n v="2018"/>
  </r>
  <r>
    <s v="33-0647946"/>
    <x v="1"/>
    <s v="Taya Lazootin"/>
    <x v="5"/>
    <n v="60"/>
    <n v="0"/>
    <n v="0"/>
    <n v="2017"/>
  </r>
  <r>
    <s v="33-0647946"/>
    <x v="1"/>
    <s v="Jack Brown"/>
    <x v="6"/>
    <n v="0"/>
    <n v="0"/>
    <n v="0"/>
    <n v="2017"/>
  </r>
  <r>
    <s v="33-0647946"/>
    <x v="1"/>
    <s v="Glen Schmidt"/>
    <x v="7"/>
    <n v="0"/>
    <n v="0"/>
    <n v="0"/>
    <n v="2017"/>
  </r>
  <r>
    <s v="33-0647946"/>
    <x v="1"/>
    <s v="Elizabeth Taylor"/>
    <x v="5"/>
    <n v="0"/>
    <n v="0"/>
    <n v="0"/>
    <n v="2016"/>
  </r>
  <r>
    <s v="33-0647946"/>
    <x v="1"/>
    <s v="Everett Delano"/>
    <x v="6"/>
    <n v="0"/>
    <n v="0"/>
    <n v="0"/>
    <n v="2016"/>
  </r>
  <r>
    <s v="33-0647946"/>
    <x v="1"/>
    <s v="Glen Schmidt"/>
    <x v="6"/>
    <n v="0"/>
    <n v="0"/>
    <n v="0"/>
    <n v="2016"/>
  </r>
  <r>
    <s v="33-0647946"/>
    <x v="1"/>
    <s v="Elizabeth Taylor"/>
    <x v="5"/>
    <n v="0"/>
    <n v="0"/>
    <n v="0"/>
    <n v="2015"/>
  </r>
  <r>
    <s v="33-0647946"/>
    <x v="1"/>
    <s v="Everett Delano"/>
    <x v="6"/>
    <n v="0"/>
    <n v="0"/>
    <n v="0"/>
    <n v="2015"/>
  </r>
  <r>
    <s v="84-4780735"/>
    <x v="2"/>
    <s v="Carlos Mallo Molina"/>
    <x v="0"/>
    <n v="45689"/>
    <n v="0"/>
    <n v="0"/>
    <n v="2023"/>
  </r>
  <r>
    <s v="84-4780735"/>
    <x v="2"/>
    <s v="Benjamin Cain"/>
    <x v="2"/>
    <n v="0"/>
    <n v="0"/>
    <n v="0"/>
    <n v="2023"/>
  </r>
  <r>
    <s v="84-4780735"/>
    <x v="2"/>
    <s v="Eric Larsen"/>
    <x v="5"/>
    <n v="0"/>
    <n v="0"/>
    <n v="0"/>
    <n v="2023"/>
  </r>
  <r>
    <s v="84-4780735"/>
    <x v="2"/>
    <s v="Karyna Duran"/>
    <x v="8"/>
    <n v="13505"/>
    <n v="0"/>
    <n v="0"/>
    <n v="2022"/>
  </r>
  <r>
    <s v="84-4780735"/>
    <x v="2"/>
    <s v="Laura Vanopdenbosch"/>
    <x v="9"/>
    <n v="13491"/>
    <n v="0"/>
    <n v="0"/>
    <n v="2022"/>
  </r>
  <r>
    <s v="84-4780735"/>
    <x v="2"/>
    <s v="Carlos Mallo Molina"/>
    <x v="0"/>
    <n v="10653"/>
    <n v="0"/>
    <n v="0"/>
    <n v="2022"/>
  </r>
  <r>
    <s v="84-4780735"/>
    <x v="2"/>
    <s v="Karyna Duran"/>
    <x v="4"/>
    <n v="0"/>
    <n v="0"/>
    <n v="0"/>
    <n v="2021"/>
  </r>
  <r>
    <s v="84-4780735"/>
    <x v="2"/>
    <s v="Carlos Mallo Molina"/>
    <x v="5"/>
    <n v="0"/>
    <n v="0"/>
    <n v="0"/>
    <n v="2021"/>
  </r>
  <r>
    <s v="84-4780735"/>
    <x v="2"/>
    <s v="Laura Vanopdenbosch"/>
    <x v="2"/>
    <n v="0"/>
    <n v="0"/>
    <n v="0"/>
    <n v="2021"/>
  </r>
  <r>
    <s v="45-4329874"/>
    <x v="3"/>
    <s v="Graham Harvey"/>
    <x v="5"/>
    <n v="0"/>
    <n v="0"/>
    <n v="0"/>
    <n v="2023"/>
  </r>
  <r>
    <s v="45-4329874"/>
    <x v="3"/>
    <s v="Christopher Seib"/>
    <x v="4"/>
    <n v="0"/>
    <n v="0"/>
    <n v="0"/>
    <n v="2023"/>
  </r>
  <r>
    <s v="45-4329874"/>
    <x v="3"/>
    <s v="Trever Gregory"/>
    <x v="2"/>
    <n v="0"/>
    <n v="0"/>
    <n v="0"/>
    <n v="2023"/>
  </r>
  <r>
    <s v="45-4329874"/>
    <x v="3"/>
    <s v="Graham Harvey"/>
    <x v="5"/>
    <n v="0"/>
    <n v="0"/>
    <n v="0"/>
    <n v="2022"/>
  </r>
  <r>
    <s v="45-4329874"/>
    <x v="3"/>
    <s v="Christopher Seib"/>
    <x v="4"/>
    <n v="0"/>
    <n v="0"/>
    <n v="0"/>
    <n v="2022"/>
  </r>
  <r>
    <s v="45-4329874"/>
    <x v="3"/>
    <s v="Trever Gregory"/>
    <x v="2"/>
    <n v="0"/>
    <n v="0"/>
    <n v="0"/>
    <n v="2022"/>
  </r>
  <r>
    <s v="45-4329874"/>
    <x v="3"/>
    <s v="Graham Harvey"/>
    <x v="5"/>
    <n v="0"/>
    <n v="0"/>
    <n v="0"/>
    <n v="2021"/>
  </r>
  <r>
    <s v="45-4329874"/>
    <x v="3"/>
    <s v="Christopher Seib"/>
    <x v="4"/>
    <n v="0"/>
    <n v="0"/>
    <n v="0"/>
    <n v="2021"/>
  </r>
  <r>
    <s v="45-4329874"/>
    <x v="3"/>
    <s v="Trever Gregory"/>
    <x v="2"/>
    <n v="0"/>
    <n v="0"/>
    <n v="0"/>
    <n v="2021"/>
  </r>
  <r>
    <s v="45-4329874"/>
    <x v="3"/>
    <s v="Graham Harvey"/>
    <x v="5"/>
    <n v="0"/>
    <n v="0"/>
    <n v="0"/>
    <n v="2020"/>
  </r>
  <r>
    <s v="45-4329874"/>
    <x v="3"/>
    <s v="Christopher Seib"/>
    <x v="4"/>
    <n v="0"/>
    <n v="0"/>
    <n v="0"/>
    <n v="2020"/>
  </r>
  <r>
    <s v="45-4329874"/>
    <x v="3"/>
    <s v="Trever Gregory"/>
    <x v="2"/>
    <n v="0"/>
    <n v="0"/>
    <n v="0"/>
    <n v="2020"/>
  </r>
  <r>
    <s v="45-4329874"/>
    <x v="3"/>
    <s v="Graham Harvey"/>
    <x v="5"/>
    <n v="0"/>
    <n v="0"/>
    <n v="0"/>
    <n v="2019"/>
  </r>
  <r>
    <s v="45-4329874"/>
    <x v="3"/>
    <s v="Christopher Seib"/>
    <x v="4"/>
    <n v="0"/>
    <n v="0"/>
    <n v="0"/>
    <n v="2019"/>
  </r>
  <r>
    <s v="45-4329874"/>
    <x v="3"/>
    <s v="Trever Gregory"/>
    <x v="2"/>
    <n v="0"/>
    <n v="0"/>
    <n v="0"/>
    <n v="2019"/>
  </r>
  <r>
    <s v="83-3305529"/>
    <x v="4"/>
    <s v="Teresa Bradley"/>
    <x v="10"/>
    <n v="52243"/>
    <n v="0"/>
    <n v="0"/>
    <n v="2023"/>
  </r>
  <r>
    <s v="83-3305529"/>
    <x v="4"/>
    <s v="Jeff Tuite"/>
    <x v="7"/>
    <n v="27711"/>
    <n v="0"/>
    <n v="0"/>
    <n v="2023"/>
  </r>
  <r>
    <s v="83-3305529"/>
    <x v="4"/>
    <s v="Hayden Sloan"/>
    <x v="7"/>
    <n v="11925"/>
    <n v="0"/>
    <n v="0"/>
    <n v="2023"/>
  </r>
  <r>
    <s v="83-3305529"/>
    <x v="4"/>
    <s v="Marria Evbuoma"/>
    <x v="6"/>
    <n v="347"/>
    <n v="0"/>
    <n v="0"/>
    <n v="2023"/>
  </r>
  <r>
    <s v="83-3305529"/>
    <x v="4"/>
    <s v="Teresa Bradley"/>
    <x v="10"/>
    <n v="39520"/>
    <n v="0"/>
    <n v="0"/>
    <n v="2022"/>
  </r>
  <r>
    <s v="83-3305529"/>
    <x v="4"/>
    <s v="Andrew De Los Santos"/>
    <x v="7"/>
    <n v="9405"/>
    <n v="0"/>
    <n v="0"/>
    <n v="2022"/>
  </r>
  <r>
    <s v="83-3305529"/>
    <x v="4"/>
    <s v="Jeff Tuite"/>
    <x v="7"/>
    <n v="5144"/>
    <n v="0"/>
    <n v="0"/>
    <n v="2022"/>
  </r>
  <r>
    <s v="83-3305529"/>
    <x v="4"/>
    <s v="Hayden Sloan"/>
    <x v="7"/>
    <n v="5109"/>
    <n v="0"/>
    <n v="0"/>
    <n v="2022"/>
  </r>
  <r>
    <s v="83-3305529"/>
    <x v="4"/>
    <s v="Marria Evbuoma"/>
    <x v="6"/>
    <n v="4994"/>
    <n v="0"/>
    <n v="0"/>
    <n v="2022"/>
  </r>
  <r>
    <s v="83-3305529"/>
    <x v="4"/>
    <s v="Hayden Sloan"/>
    <x v="7"/>
    <n v="5109"/>
    <n v="0"/>
    <n v="0"/>
    <n v="2021"/>
  </r>
  <r>
    <s v="83-3305529"/>
    <x v="4"/>
    <s v="Andrew De Los Santos"/>
    <x v="7"/>
    <n v="450"/>
    <n v="0"/>
    <n v="0"/>
    <n v="2021"/>
  </r>
  <r>
    <s v="83-3305529"/>
    <x v="4"/>
    <s v="Daniella Menendez"/>
    <x v="7"/>
    <n v="290"/>
    <n v="0"/>
    <n v="0"/>
    <n v="2021"/>
  </r>
  <r>
    <s v="83-3305529"/>
    <x v="4"/>
    <s v="Jeff Tuite"/>
    <x v="7"/>
    <n v="200"/>
    <n v="0"/>
    <n v="0"/>
    <n v="2021"/>
  </r>
  <r>
    <s v="83-3305529"/>
    <x v="4"/>
    <s v="Teresa Bradley"/>
    <x v="10"/>
    <n v="30207"/>
    <n v="0"/>
    <n v="0"/>
    <n v="2020"/>
  </r>
  <r>
    <s v="83-3305529"/>
    <x v="4"/>
    <s v="Alejandra Warren"/>
    <x v="6"/>
    <n v="0"/>
    <n v="0"/>
    <n v="0"/>
    <n v="2020"/>
  </r>
  <r>
    <s v="83-3305529"/>
    <x v="4"/>
    <s v="Kirk Kunihiro"/>
    <x v="2"/>
    <n v="0"/>
    <n v="0"/>
    <n v="0"/>
    <n v="2020"/>
  </r>
  <r>
    <s v="83-3305529"/>
    <x v="4"/>
    <s v="Marria Evbuoma"/>
    <x v="4"/>
    <n v="0"/>
    <n v="0"/>
    <n v="0"/>
    <n v="2020"/>
  </r>
  <r>
    <s v="83-3305529"/>
    <x v="4"/>
    <s v="Jeff Tuite"/>
    <x v="7"/>
    <n v="0"/>
    <n v="0"/>
    <n v="0"/>
    <n v="2020"/>
  </r>
  <r>
    <s v="33-0587567"/>
    <x v="5"/>
    <s v="Eric Marenburg"/>
    <x v="5"/>
    <n v="0"/>
    <n v="0"/>
    <n v="0"/>
    <n v="2023"/>
  </r>
  <r>
    <s v="33-0587567"/>
    <x v="5"/>
    <s v="Randall Engstrom"/>
    <x v="6"/>
    <n v="0"/>
    <n v="0"/>
    <n v="0"/>
    <n v="2023"/>
  </r>
  <r>
    <s v="33-0587567"/>
    <x v="5"/>
    <s v="Wilber Lai"/>
    <x v="2"/>
    <n v="0"/>
    <n v="0"/>
    <n v="0"/>
    <n v="2023"/>
  </r>
  <r>
    <s v="33-0587567"/>
    <x v="5"/>
    <s v="Margy Goodman"/>
    <x v="4"/>
    <n v="0"/>
    <n v="0"/>
    <n v="0"/>
    <n v="2023"/>
  </r>
  <r>
    <s v="33-0587567"/>
    <x v="5"/>
    <s v="Tim Pruesener"/>
    <x v="5"/>
    <n v="0"/>
    <n v="0"/>
    <n v="0"/>
    <n v="2022"/>
  </r>
  <r>
    <s v="33-0587567"/>
    <x v="5"/>
    <s v="Mark Morris"/>
    <x v="6"/>
    <n v="0"/>
    <n v="0"/>
    <n v="0"/>
    <n v="2022"/>
  </r>
  <r>
    <s v="33-0587567"/>
    <x v="5"/>
    <s v="William Ramirez"/>
    <x v="2"/>
    <n v="0"/>
    <n v="0"/>
    <n v="0"/>
    <n v="2022"/>
  </r>
  <r>
    <s v="33-0587567"/>
    <x v="5"/>
    <s v="Amber Lighty"/>
    <x v="5"/>
    <n v="0"/>
    <n v="0"/>
    <n v="0"/>
    <n v="2021"/>
  </r>
  <r>
    <s v="33-0587567"/>
    <x v="5"/>
    <s v="William Ramirez"/>
    <x v="6"/>
    <n v="0"/>
    <n v="0"/>
    <n v="0"/>
    <n v="2021"/>
  </r>
  <r>
    <s v="33-0587567"/>
    <x v="5"/>
    <s v="Tim Pruesener"/>
    <x v="2"/>
    <n v="0"/>
    <n v="0"/>
    <n v="0"/>
    <n v="2021"/>
  </r>
  <r>
    <s v="33-0587567"/>
    <x v="5"/>
    <s v="Amber Lighty"/>
    <x v="5"/>
    <n v="0"/>
    <n v="0"/>
    <n v="0"/>
    <n v="2020"/>
  </r>
  <r>
    <s v="33-0587567"/>
    <x v="5"/>
    <s v="William Ramirez"/>
    <x v="6"/>
    <n v="0"/>
    <n v="0"/>
    <n v="0"/>
    <n v="2020"/>
  </r>
  <r>
    <s v="33-0587567"/>
    <x v="5"/>
    <s v="Tim Pruesener"/>
    <x v="2"/>
    <n v="0"/>
    <n v="0"/>
    <n v="0"/>
    <n v="2020"/>
  </r>
  <r>
    <s v="33-0587567"/>
    <x v="5"/>
    <s v="William Ramirez"/>
    <x v="6"/>
    <n v="0"/>
    <n v="0"/>
    <n v="0"/>
    <n v="2019"/>
  </r>
  <r>
    <s v="33-0587567"/>
    <x v="5"/>
    <s v="Tim Pruesener"/>
    <x v="5"/>
    <n v="0"/>
    <n v="0"/>
    <n v="0"/>
    <n v="2019"/>
  </r>
  <r>
    <s v="33-0587567"/>
    <x v="5"/>
    <s v="Mark Morris"/>
    <x v="2"/>
    <n v="0"/>
    <n v="0"/>
    <n v="0"/>
    <n v="2019"/>
  </r>
  <r>
    <s v="33-0587567"/>
    <x v="5"/>
    <s v="Amber Lighty"/>
    <x v="5"/>
    <n v="0"/>
    <n v="0"/>
    <n v="0"/>
    <n v="2018"/>
  </r>
  <r>
    <s v="33-0587567"/>
    <x v="5"/>
    <s v="William Ramirez"/>
    <x v="6"/>
    <n v="0"/>
    <n v="0"/>
    <n v="0"/>
    <n v="2018"/>
  </r>
  <r>
    <s v="33-0587567"/>
    <x v="5"/>
    <s v="Tim Pruesener"/>
    <x v="2"/>
    <n v="0"/>
    <n v="0"/>
    <n v="0"/>
    <n v="2018"/>
  </r>
  <r>
    <s v="94-2745941"/>
    <x v="6"/>
    <s v="Erica Donnelly Greenan"/>
    <x v="11"/>
    <n v="104231"/>
    <n v="0"/>
    <n v="0"/>
    <n v="2023"/>
  </r>
  <r>
    <s v="94-2745941"/>
    <x v="6"/>
    <s v="Michael Jones"/>
    <x v="7"/>
    <n v="0"/>
    <n v="0"/>
    <n v="0"/>
    <n v="2023"/>
  </r>
  <r>
    <s v="94-2745941"/>
    <x v="6"/>
    <s v="Tristan Kaas"/>
    <x v="2"/>
    <n v="0"/>
    <n v="0"/>
    <n v="0"/>
    <n v="2023"/>
  </r>
  <r>
    <s v="94-2745941"/>
    <x v="6"/>
    <s v="Erica Donnelly Greenan"/>
    <x v="11"/>
    <n v="111538"/>
    <n v="0"/>
    <n v="0"/>
    <n v="2022"/>
  </r>
  <r>
    <s v="94-2745941"/>
    <x v="6"/>
    <s v="Michael Jones"/>
    <x v="12"/>
    <n v="0"/>
    <n v="0"/>
    <n v="0"/>
    <n v="2022"/>
  </r>
  <r>
    <s v="94-2745941"/>
    <x v="6"/>
    <s v="Tristan Kaas"/>
    <x v="2"/>
    <n v="0"/>
    <n v="0"/>
    <n v="0"/>
    <n v="2022"/>
  </r>
  <r>
    <s v="94-2745941"/>
    <x v="6"/>
    <s v="Katherine O'dea"/>
    <x v="11"/>
    <n v="86688"/>
    <n v="0"/>
    <n v="0"/>
    <n v="2021"/>
  </r>
  <r>
    <s v="94-2745941"/>
    <x v="6"/>
    <s v="Erica Donnelly Greenan"/>
    <x v="11"/>
    <n v="28846"/>
    <n v="0"/>
    <n v="0"/>
    <n v="2021"/>
  </r>
  <r>
    <s v="94-2745941"/>
    <x v="6"/>
    <s v="Michael Jones"/>
    <x v="12"/>
    <n v="0"/>
    <n v="0"/>
    <n v="0"/>
    <n v="2021"/>
  </r>
  <r>
    <s v="94-2745941"/>
    <x v="6"/>
    <s v="Katherine O'dea"/>
    <x v="11"/>
    <n v="122566"/>
    <n v="0"/>
    <n v="0"/>
    <n v="2020"/>
  </r>
  <r>
    <s v="94-2745941"/>
    <x v="6"/>
    <s v="Michael Jones"/>
    <x v="12"/>
    <n v="0"/>
    <n v="0"/>
    <n v="0"/>
    <n v="2020"/>
  </r>
  <r>
    <s v="94-2745941"/>
    <x v="6"/>
    <s v="Rich Vicenti"/>
    <x v="2"/>
    <n v="0"/>
    <n v="0"/>
    <n v="0"/>
    <n v="2020"/>
  </r>
  <r>
    <s v="94-2745941"/>
    <x v="6"/>
    <s v="Katherine O'dea"/>
    <x v="11"/>
    <n v="104508"/>
    <n v="0"/>
    <n v="0"/>
    <n v="2019"/>
  </r>
  <r>
    <s v="94-2745941"/>
    <x v="6"/>
    <s v="Michael Jones"/>
    <x v="12"/>
    <n v="0"/>
    <n v="0"/>
    <n v="0"/>
    <n v="2019"/>
  </r>
  <r>
    <s v="94-2745941"/>
    <x v="6"/>
    <s v="Rich Vicenti"/>
    <x v="2"/>
    <n v="0"/>
    <n v="0"/>
    <n v="0"/>
    <n v="2019"/>
  </r>
  <r>
    <s v="33-0145660"/>
    <x v="7"/>
    <s v="Zembal Richard"/>
    <x v="1"/>
    <n v="21200"/>
    <n v="0"/>
    <n v="0"/>
    <n v="2023"/>
  </r>
  <r>
    <s v="33-0145660"/>
    <x v="7"/>
    <s v="Brodt Jacqueline"/>
    <x v="1"/>
    <n v="0"/>
    <n v="0"/>
    <n v="0"/>
    <n v="2023"/>
  </r>
  <r>
    <s v="33-0145660"/>
    <x v="7"/>
    <s v="Guido Dave"/>
    <x v="13"/>
    <n v="0"/>
    <n v="0"/>
    <n v="0"/>
    <n v="2023"/>
  </r>
  <r>
    <s v="33-0145660"/>
    <x v="7"/>
    <s v="Zembal Richard"/>
    <x v="1"/>
    <n v="20000"/>
    <n v="0"/>
    <n v="0"/>
    <n v="2022"/>
  </r>
  <r>
    <s v="33-0145660"/>
    <x v="7"/>
    <s v="Brodt Jacqueline"/>
    <x v="1"/>
    <n v="0"/>
    <n v="0"/>
    <n v="0"/>
    <n v="2022"/>
  </r>
  <r>
    <s v="33-0145660"/>
    <x v="7"/>
    <s v="Guido Dave"/>
    <x v="13"/>
    <n v="0"/>
    <n v="0"/>
    <n v="0"/>
    <n v="2022"/>
  </r>
  <r>
    <s v="33-0145660"/>
    <x v="7"/>
    <s v="Zembal Richard"/>
    <x v="1"/>
    <n v="28000"/>
    <n v="0"/>
    <n v="0"/>
    <n v="2021"/>
  </r>
  <r>
    <s v="33-0145660"/>
    <x v="7"/>
    <s v="Brodt Jacqueline"/>
    <x v="1"/>
    <n v="0"/>
    <n v="0"/>
    <n v="0"/>
    <n v="2021"/>
  </r>
  <r>
    <s v="33-0145660"/>
    <x v="7"/>
    <s v="Guido Dave"/>
    <x v="13"/>
    <n v="0"/>
    <n v="0"/>
    <n v="0"/>
    <n v="2021"/>
  </r>
  <r>
    <s v="33-0145660"/>
    <x v="7"/>
    <s v="Zembal Richard"/>
    <x v="1"/>
    <n v="17000"/>
    <n v="0"/>
    <n v="0"/>
    <n v="2019"/>
  </r>
  <r>
    <s v="33-0145660"/>
    <x v="7"/>
    <s v="Brodt Jacqueline"/>
    <x v="1"/>
    <n v="0"/>
    <n v="0"/>
    <n v="0"/>
    <n v="2019"/>
  </r>
  <r>
    <s v="33-0145660"/>
    <x v="7"/>
    <s v="Gardiner Greg"/>
    <x v="1"/>
    <n v="0"/>
    <n v="0"/>
    <n v="0"/>
    <n v="2019"/>
  </r>
  <r>
    <s v="94-2665367"/>
    <x v="8"/>
    <s v="Mary T Crowley"/>
    <x v="7"/>
    <n v="0"/>
    <n v="0"/>
    <n v="0"/>
    <n v="2023"/>
  </r>
  <r>
    <s v="94-2665367"/>
    <x v="8"/>
    <s v="Ann Nichols"/>
    <x v="7"/>
    <n v="0"/>
    <n v="0"/>
    <n v="0"/>
    <n v="2023"/>
  </r>
  <r>
    <s v="94-2665367"/>
    <x v="8"/>
    <s v="Conrad Gann"/>
    <x v="7"/>
    <n v="0"/>
    <n v="0"/>
    <n v="0"/>
    <n v="2023"/>
  </r>
  <r>
    <s v="94-2665367"/>
    <x v="8"/>
    <s v="Mary T Crowley"/>
    <x v="7"/>
    <n v="0"/>
    <n v="0"/>
    <n v="0"/>
    <n v="2022"/>
  </r>
  <r>
    <s v="94-2665367"/>
    <x v="8"/>
    <s v="Ann Nichols"/>
    <x v="7"/>
    <n v="0"/>
    <n v="0"/>
    <n v="0"/>
    <n v="2022"/>
  </r>
  <r>
    <s v="94-2665367"/>
    <x v="8"/>
    <s v="Conrad Gann"/>
    <x v="7"/>
    <n v="0"/>
    <n v="0"/>
    <n v="0"/>
    <n v="2022"/>
  </r>
  <r>
    <s v="94-2665367"/>
    <x v="8"/>
    <s v="Mary T Crowley"/>
    <x v="7"/>
    <n v="0"/>
    <n v="0"/>
    <n v="0"/>
    <n v="2021"/>
  </r>
  <r>
    <s v="94-2665367"/>
    <x v="8"/>
    <s v="Ann Nichols"/>
    <x v="7"/>
    <n v="0"/>
    <n v="0"/>
    <n v="0"/>
    <n v="2021"/>
  </r>
  <r>
    <s v="94-2665367"/>
    <x v="8"/>
    <s v="Conrad Gann"/>
    <x v="7"/>
    <n v="0"/>
    <n v="0"/>
    <n v="0"/>
    <n v="2021"/>
  </r>
  <r>
    <s v="94-2665367"/>
    <x v="8"/>
    <s v="Mary T Crowley"/>
    <x v="7"/>
    <n v="0"/>
    <n v="0"/>
    <n v="0"/>
    <n v="2020"/>
  </r>
  <r>
    <s v="94-2665367"/>
    <x v="8"/>
    <s v="Ann Nichols"/>
    <x v="7"/>
    <n v="0"/>
    <n v="0"/>
    <n v="0"/>
    <n v="2020"/>
  </r>
  <r>
    <s v="94-2665367"/>
    <x v="8"/>
    <s v="Conrad Gann"/>
    <x v="7"/>
    <n v="0"/>
    <n v="0"/>
    <n v="0"/>
    <n v="2020"/>
  </r>
  <r>
    <s v="94-2665367"/>
    <x v="8"/>
    <s v="Mary T Crowley"/>
    <x v="7"/>
    <n v="0"/>
    <n v="0"/>
    <n v="0"/>
    <n v="2019"/>
  </r>
  <r>
    <s v="94-2665367"/>
    <x v="8"/>
    <s v="Ann Nichols"/>
    <x v="7"/>
    <n v="0"/>
    <n v="0"/>
    <n v="0"/>
    <n v="2019"/>
  </r>
  <r>
    <s v="94-2665367"/>
    <x v="8"/>
    <s v="Conrad Gann"/>
    <x v="7"/>
    <n v="0"/>
    <n v="0"/>
    <n v="0"/>
    <n v="2019"/>
  </r>
  <r>
    <s v="20-1832617"/>
    <x v="9"/>
    <s v="Tigran Sadoyan"/>
    <x v="14"/>
    <n v="71798"/>
    <n v="0"/>
    <n v="0"/>
    <n v="2023"/>
  </r>
  <r>
    <s v="20-1832617"/>
    <x v="9"/>
    <s v="Barbara Wiseman"/>
    <x v="0"/>
    <n v="69300"/>
    <n v="0"/>
    <n v="0"/>
    <n v="2023"/>
  </r>
  <r>
    <s v="20-1832617"/>
    <x v="9"/>
    <s v="Arlin Howles"/>
    <x v="14"/>
    <n v="67678"/>
    <n v="0"/>
    <n v="0"/>
    <n v="2023"/>
  </r>
  <r>
    <s v="20-1832617"/>
    <x v="9"/>
    <s v="Barbara Wiseman"/>
    <x v="0"/>
    <n v="52800"/>
    <n v="0"/>
    <n v="0"/>
    <n v="2022"/>
  </r>
  <r>
    <s v="20-1832617"/>
    <x v="9"/>
    <s v="Diane Wagenbrenner"/>
    <x v="14"/>
    <n v="48000"/>
    <n v="0"/>
    <n v="0"/>
    <n v="2022"/>
  </r>
  <r>
    <s v="20-1832617"/>
    <x v="9"/>
    <s v="Deborah Schreib"/>
    <x v="14"/>
    <n v="35900"/>
    <n v="0"/>
    <n v="0"/>
    <n v="2022"/>
  </r>
  <r>
    <s v="20-1832617"/>
    <x v="9"/>
    <s v="Barbara Wiseman"/>
    <x v="7"/>
    <n v="57200"/>
    <n v="0"/>
    <n v="0"/>
    <n v="2021"/>
  </r>
  <r>
    <s v="20-1832617"/>
    <x v="9"/>
    <s v="Deborah Schreib"/>
    <x v="2"/>
    <n v="36000"/>
    <n v="0"/>
    <n v="0"/>
    <n v="2021"/>
  </r>
  <r>
    <s v="20-1832617"/>
    <x v="9"/>
    <s v="Bill Butler"/>
    <x v="12"/>
    <n v="0"/>
    <n v="0"/>
    <n v="0"/>
    <n v="2021"/>
  </r>
  <r>
    <s v="20-1832617"/>
    <x v="9"/>
    <s v="Barbara Wiseman"/>
    <x v="7"/>
    <n v="53018"/>
    <n v="0"/>
    <n v="0"/>
    <n v="2020"/>
  </r>
  <r>
    <s v="20-1832617"/>
    <x v="9"/>
    <s v="Ray Mckay"/>
    <x v="12"/>
    <n v="0"/>
    <n v="0"/>
    <n v="0"/>
    <n v="2020"/>
  </r>
  <r>
    <s v="20-1832617"/>
    <x v="9"/>
    <s v="Stan Gerson"/>
    <x v="7"/>
    <n v="0"/>
    <n v="0"/>
    <n v="0"/>
    <n v="2020"/>
  </r>
  <r>
    <s v="20-1832617"/>
    <x v="9"/>
    <s v="Barbara Wiseman"/>
    <x v="2"/>
    <n v="8200"/>
    <n v="0"/>
    <n v="0"/>
    <n v="2019"/>
  </r>
  <r>
    <s v="47-5161428"/>
    <x v="10"/>
    <s v="Michael Anders"/>
    <x v="7"/>
    <n v="0"/>
    <n v="0"/>
    <n v="0"/>
    <n v="2023"/>
  </r>
  <r>
    <s v="47-5161428"/>
    <x v="10"/>
    <s v="Peter De Menocal"/>
    <x v="7"/>
    <n v="0"/>
    <n v="0"/>
    <n v="0"/>
    <n v="2023"/>
  </r>
  <r>
    <s v="47-5161428"/>
    <x v="10"/>
    <s v="David Saltzman"/>
    <x v="7"/>
    <n v="0"/>
    <n v="0"/>
    <n v="0"/>
    <n v="2023"/>
  </r>
  <r>
    <s v="47-5161428"/>
    <x v="10"/>
    <s v="Michael Anders"/>
    <x v="7"/>
    <n v="0"/>
    <n v="0"/>
    <n v="0"/>
    <n v="2022"/>
  </r>
  <r>
    <s v="47-5161428"/>
    <x v="10"/>
    <s v="Peter Demenocal"/>
    <x v="7"/>
    <n v="0"/>
    <n v="0"/>
    <n v="0"/>
    <n v="2022"/>
  </r>
  <r>
    <s v="47-5161428"/>
    <x v="10"/>
    <s v="Erik Logan"/>
    <x v="7"/>
    <n v="0"/>
    <n v="0"/>
    <n v="0"/>
    <n v="2022"/>
  </r>
  <r>
    <s v="47-5161428"/>
    <x v="10"/>
    <s v="Michael Anders"/>
    <x v="7"/>
    <n v="0"/>
    <n v="0"/>
    <n v="0"/>
    <n v="2021"/>
  </r>
  <r>
    <s v="47-5161428"/>
    <x v="10"/>
    <s v="Peter Demenocal"/>
    <x v="7"/>
    <n v="0"/>
    <n v="0"/>
    <n v="0"/>
    <n v="2021"/>
  </r>
  <r>
    <s v="47-5161428"/>
    <x v="10"/>
    <s v="Erik Logan"/>
    <x v="7"/>
    <n v="0"/>
    <n v="0"/>
    <n v="0"/>
    <n v="2021"/>
  </r>
  <r>
    <s v="47-5161428"/>
    <x v="10"/>
    <s v="Michael Anders"/>
    <x v="7"/>
    <n v="0"/>
    <n v="0"/>
    <n v="0"/>
    <n v="2020"/>
  </r>
  <r>
    <s v="47-5161428"/>
    <x v="10"/>
    <s v="Peter Demenocal"/>
    <x v="7"/>
    <n v="0"/>
    <n v="0"/>
    <n v="0"/>
    <n v="2020"/>
  </r>
  <r>
    <s v="47-5161428"/>
    <x v="10"/>
    <s v="Erik Logan"/>
    <x v="7"/>
    <n v="0"/>
    <n v="0"/>
    <n v="0"/>
    <n v="2020"/>
  </r>
  <r>
    <s v="47-5161428"/>
    <x v="10"/>
    <s v="Michael Anders"/>
    <x v="7"/>
    <n v="0"/>
    <n v="0"/>
    <n v="0"/>
    <n v="2019"/>
  </r>
  <r>
    <s v="47-5161428"/>
    <x v="10"/>
    <s v="Peter Demenocal"/>
    <x v="7"/>
    <n v="0"/>
    <n v="0"/>
    <n v="0"/>
    <n v="2019"/>
  </r>
  <r>
    <s v="47-5161428"/>
    <x v="10"/>
    <s v="Erik Logan"/>
    <x v="7"/>
    <n v="0"/>
    <n v="0"/>
    <n v="0"/>
    <n v="2019"/>
  </r>
  <r>
    <s v="94-2216915"/>
    <x v="11"/>
    <s v="Tim Flanagan"/>
    <x v="5"/>
    <n v="0"/>
    <n v="0"/>
    <n v="0"/>
    <n v="2022"/>
  </r>
  <r>
    <s v="94-2216915"/>
    <x v="11"/>
    <s v="Debbie Goodyear"/>
    <x v="7"/>
    <n v="0"/>
    <n v="0"/>
    <n v="0"/>
    <n v="2022"/>
  </r>
  <r>
    <s v="94-2216915"/>
    <x v="11"/>
    <s v="Doug Scott"/>
    <x v="2"/>
    <n v="0"/>
    <n v="0"/>
    <n v="0"/>
    <n v="2022"/>
  </r>
  <r>
    <s v="94-2216915"/>
    <x v="11"/>
    <s v="David Borges"/>
    <x v="5"/>
    <n v="1739"/>
    <n v="0"/>
    <n v="0"/>
    <n v="2021"/>
  </r>
  <r>
    <s v="94-2216915"/>
    <x v="11"/>
    <s v="Debbie Goodyear"/>
    <x v="6"/>
    <n v="1739"/>
    <n v="0"/>
    <n v="0"/>
    <n v="2021"/>
  </r>
  <r>
    <s v="94-2216915"/>
    <x v="11"/>
    <s v="Dave Zajac"/>
    <x v="2"/>
    <n v="1739"/>
    <n v="0"/>
    <n v="0"/>
    <n v="2021"/>
  </r>
  <r>
    <s v="94-2216915"/>
    <x v="11"/>
    <s v="Gene Bellisario"/>
    <x v="4"/>
    <n v="1440"/>
    <n v="0"/>
    <n v="0"/>
    <n v="2020"/>
  </r>
  <r>
    <s v="94-2216915"/>
    <x v="11"/>
    <s v="Dennis R Wright"/>
    <x v="7"/>
    <n v="1440"/>
    <n v="0"/>
    <n v="0"/>
    <n v="2020"/>
  </r>
  <r>
    <s v="94-2216915"/>
    <x v="11"/>
    <s v="Debra J Goodyear"/>
    <x v="6"/>
    <n v="1440"/>
    <n v="0"/>
    <n v="0"/>
    <n v="2020"/>
  </r>
  <r>
    <s v="94-2216915"/>
    <x v="11"/>
    <s v="Gene Bellisario"/>
    <x v="4"/>
    <n v="1440"/>
    <n v="0"/>
    <n v="0"/>
    <n v="2019"/>
  </r>
  <r>
    <s v="94-2216915"/>
    <x v="11"/>
    <s v="Dennis R Wright"/>
    <x v="7"/>
    <n v="1440"/>
    <n v="0"/>
    <n v="0"/>
    <n v="2019"/>
  </r>
  <r>
    <s v="94-2216915"/>
    <x v="11"/>
    <s v="Debra J Goodyear"/>
    <x v="6"/>
    <n v="1440"/>
    <n v="0"/>
    <n v="0"/>
    <n v="2019"/>
  </r>
  <r>
    <s v="23-7213237"/>
    <x v="12"/>
    <s v="Anna Talken"/>
    <x v="15"/>
    <n v="0"/>
    <n v="0"/>
    <n v="0"/>
    <n v="2023"/>
  </r>
  <r>
    <s v="23-7213237"/>
    <x v="12"/>
    <s v="Marissa Miller"/>
    <x v="15"/>
    <n v="0"/>
    <n v="0"/>
    <n v="0"/>
    <n v="2023"/>
  </r>
  <r>
    <s v="23-7213237"/>
    <x v="12"/>
    <s v="Cassie Olovsson"/>
    <x v="16"/>
    <n v="0"/>
    <n v="0"/>
    <n v="0"/>
    <n v="2023"/>
  </r>
  <r>
    <s v="23-7213237"/>
    <x v="12"/>
    <s v="Nicole Sisneros"/>
    <x v="13"/>
    <n v="0"/>
    <n v="0"/>
    <n v="0"/>
    <n v="2022"/>
  </r>
  <r>
    <s v="23-7213237"/>
    <x v="12"/>
    <s v="Andrea Biniskiewicz"/>
    <x v="15"/>
    <n v="0"/>
    <n v="0"/>
    <n v="0"/>
    <n v="2022"/>
  </r>
  <r>
    <s v="23-7213237"/>
    <x v="12"/>
    <s v="Christopher Hamma"/>
    <x v="17"/>
    <n v="0"/>
    <n v="0"/>
    <n v="0"/>
    <n v="2022"/>
  </r>
  <r>
    <s v="23-7213237"/>
    <x v="12"/>
    <s v="Nicole Sisneros"/>
    <x v="13"/>
    <n v="0"/>
    <n v="0"/>
    <n v="0"/>
    <n v="2021"/>
  </r>
  <r>
    <s v="23-7213237"/>
    <x v="12"/>
    <s v="Andrea Biniskiewicz"/>
    <x v="15"/>
    <n v="0"/>
    <n v="0"/>
    <n v="0"/>
    <n v="2021"/>
  </r>
  <r>
    <s v="23-7213237"/>
    <x v="12"/>
    <s v="Christopher Hamma"/>
    <x v="17"/>
    <n v="0"/>
    <n v="0"/>
    <n v="0"/>
    <n v="2021"/>
  </r>
  <r>
    <s v="23-7213237"/>
    <x v="12"/>
    <s v="Krista Burke"/>
    <x v="13"/>
    <n v="0"/>
    <n v="0"/>
    <n v="0"/>
    <n v="2020"/>
  </r>
  <r>
    <s v="23-7213237"/>
    <x v="12"/>
    <s v="Nicole Sisneros"/>
    <x v="15"/>
    <n v="0"/>
    <n v="0"/>
    <n v="0"/>
    <n v="2020"/>
  </r>
  <r>
    <s v="23-7213237"/>
    <x v="12"/>
    <s v="Andrea Biniskiewicz"/>
    <x v="17"/>
    <n v="0"/>
    <n v="0"/>
    <n v="0"/>
    <n v="2020"/>
  </r>
  <r>
    <s v="23-7213237"/>
    <x v="12"/>
    <s v="Melody Demeritt"/>
    <x v="13"/>
    <n v="0"/>
    <n v="0"/>
    <n v="0"/>
    <n v="2019"/>
  </r>
  <r>
    <s v="23-7213237"/>
    <x v="12"/>
    <s v="Sean Murphy"/>
    <x v="17"/>
    <n v="0"/>
    <n v="0"/>
    <n v="0"/>
    <n v="2019"/>
  </r>
  <r>
    <s v="23-7213237"/>
    <x v="12"/>
    <s v="Krista Burke"/>
    <x v="4"/>
    <n v="0"/>
    <n v="0"/>
    <n v="0"/>
    <n v="2019"/>
  </r>
  <r>
    <s v="85-3432174"/>
    <x v="13"/>
    <s v="Dale Byrne"/>
    <x v="5"/>
    <n v="0"/>
    <n v="0"/>
    <n v="0"/>
    <n v="2023"/>
  </r>
  <r>
    <s v="85-3432174"/>
    <x v="13"/>
    <s v="Tea Yengst"/>
    <x v="18"/>
    <n v="0"/>
    <n v="0"/>
    <n v="0"/>
    <n v="2023"/>
  </r>
  <r>
    <s v="85-3432174"/>
    <x v="13"/>
    <s v="Brian Sours"/>
    <x v="4"/>
    <n v="0"/>
    <n v="0"/>
    <n v="0"/>
    <n v="2023"/>
  </r>
  <r>
    <s v="85-3432174"/>
    <x v="13"/>
    <s v="Tim Allen"/>
    <x v="7"/>
    <n v="0"/>
    <n v="0"/>
    <n v="0"/>
    <n v="2022"/>
  </r>
  <r>
    <s v="85-3432174"/>
    <x v="13"/>
    <s v="Margaret Byrne"/>
    <x v="4"/>
    <n v="0"/>
    <n v="0"/>
    <n v="0"/>
    <n v="2022"/>
  </r>
  <r>
    <s v="85-3432174"/>
    <x v="13"/>
    <s v="Tim Allen"/>
    <x v="1"/>
    <n v="2"/>
    <n v="0"/>
    <n v="0"/>
    <n v="2020"/>
  </r>
  <r>
    <s v="85-3432174"/>
    <x v="13"/>
    <s v="Dale Byrne"/>
    <x v="5"/>
    <n v="0"/>
    <n v="0"/>
    <n v="0"/>
    <n v="2020"/>
  </r>
  <r>
    <s v="85-3432174"/>
    <x v="13"/>
    <s v="Margaret Byrne"/>
    <x v="19"/>
    <n v="0"/>
    <n v="0"/>
    <n v="0"/>
    <n v="2020"/>
  </r>
  <r>
    <s v="33-0974992"/>
    <x v="14"/>
    <s v="Laurie Smith"/>
    <x v="7"/>
    <n v="0"/>
    <n v="0"/>
    <n v="0"/>
    <n v="2023"/>
  </r>
  <r>
    <s v="33-0974992"/>
    <x v="14"/>
    <s v="Tom Mayes"/>
    <x v="7"/>
    <n v="0"/>
    <n v="0"/>
    <n v="0"/>
    <n v="2023"/>
  </r>
  <r>
    <s v="33-0974992"/>
    <x v="14"/>
    <s v="Dorothy Johnson"/>
    <x v="7"/>
    <n v="0"/>
    <n v="0"/>
    <n v="0"/>
    <n v="2023"/>
  </r>
  <r>
    <s v="33-0974992"/>
    <x v="15"/>
    <s v="David Michalik"/>
    <x v="7"/>
    <n v="0"/>
    <n v="0"/>
    <n v="0"/>
    <n v="2022"/>
  </r>
  <r>
    <s v="33-0974992"/>
    <x v="15"/>
    <s v="Dianne Sundstrom"/>
    <x v="7"/>
    <n v="0"/>
    <n v="0"/>
    <n v="0"/>
    <n v="2022"/>
  </r>
  <r>
    <s v="33-0974992"/>
    <x v="16"/>
    <s v="Elizabeth Lambe"/>
    <x v="0"/>
    <n v="36960"/>
    <n v="0"/>
    <n v="0"/>
    <n v="2021"/>
  </r>
  <r>
    <s v="33-0974992"/>
    <x v="16"/>
    <s v="David Michalik"/>
    <x v="7"/>
    <n v="0"/>
    <n v="0"/>
    <n v="0"/>
    <n v="2021"/>
  </r>
  <r>
    <s v="33-0974992"/>
    <x v="16"/>
    <s v="Dianne Sundstrom"/>
    <x v="7"/>
    <n v="0"/>
    <n v="0"/>
    <n v="0"/>
    <n v="2021"/>
  </r>
  <r>
    <s v="33-0974992"/>
    <x v="16"/>
    <s v="Elizabeth Lambe"/>
    <x v="0"/>
    <n v="37100"/>
    <n v="0"/>
    <n v="0"/>
    <n v="2020"/>
  </r>
  <r>
    <s v="33-0974992"/>
    <x v="16"/>
    <s v="Connie Warner"/>
    <x v="7"/>
    <n v="0"/>
    <n v="0"/>
    <n v="0"/>
    <n v="2020"/>
  </r>
  <r>
    <s v="33-0974992"/>
    <x v="16"/>
    <s v="David Michalik"/>
    <x v="7"/>
    <n v="0"/>
    <n v="0"/>
    <n v="0"/>
    <n v="2020"/>
  </r>
  <r>
    <s v="33-0974992"/>
    <x v="14"/>
    <s v="Pat Bliss"/>
    <x v="7"/>
    <n v="0"/>
    <n v="0"/>
    <n v="0"/>
    <n v="2019"/>
  </r>
  <r>
    <s v="33-0974992"/>
    <x v="14"/>
    <s v="Janice Dahl"/>
    <x v="7"/>
    <n v="0"/>
    <n v="0"/>
    <n v="0"/>
    <n v="2019"/>
  </r>
  <r>
    <s v="33-0974992"/>
    <x v="14"/>
    <s v="David Michalik"/>
    <x v="7"/>
    <n v="0"/>
    <n v="0"/>
    <n v="0"/>
    <n v="2019"/>
  </r>
  <r>
    <s v="94-1693226"/>
    <x v="17"/>
    <s v="Paul Carrubba"/>
    <x v="7"/>
    <n v="0"/>
    <n v="0"/>
    <n v="0"/>
    <n v="2022"/>
  </r>
  <r>
    <s v="94-1693226"/>
    <x v="17"/>
    <s v="Mark Lewis"/>
    <x v="7"/>
    <n v="0"/>
    <n v="0"/>
    <n v="0"/>
    <n v="2022"/>
  </r>
  <r>
    <s v="94-1693226"/>
    <x v="17"/>
    <s v="Bill Witmer"/>
    <x v="7"/>
    <n v="0"/>
    <n v="0"/>
    <n v="0"/>
    <n v="2022"/>
  </r>
  <r>
    <s v="94-1693226"/>
    <x v="17"/>
    <s v="Bob Burick"/>
    <x v="5"/>
    <n v="0"/>
    <n v="0"/>
    <n v="0"/>
    <n v="2021"/>
  </r>
  <r>
    <s v="94-1693226"/>
    <x v="17"/>
    <s v="Paul Carrubba"/>
    <x v="7"/>
    <n v="0"/>
    <n v="0"/>
    <n v="0"/>
    <n v="2021"/>
  </r>
  <r>
    <s v="94-1693226"/>
    <x v="17"/>
    <s v="Mark Lewis"/>
    <x v="7"/>
    <n v="0"/>
    <n v="0"/>
    <n v="0"/>
    <n v="2021"/>
  </r>
  <r>
    <s v="94-1693226"/>
    <x v="17"/>
    <s v="Bob Burick"/>
    <x v="5"/>
    <n v="0"/>
    <n v="0"/>
    <n v="0"/>
    <n v="2020"/>
  </r>
  <r>
    <s v="94-1693226"/>
    <x v="17"/>
    <s v="Paul Carrubba"/>
    <x v="7"/>
    <n v="0"/>
    <n v="0"/>
    <n v="0"/>
    <n v="2020"/>
  </r>
  <r>
    <s v="94-1693226"/>
    <x v="17"/>
    <s v="Mark Lewis"/>
    <x v="7"/>
    <n v="0"/>
    <n v="0"/>
    <n v="0"/>
    <n v="2020"/>
  </r>
  <r>
    <s v="94-1693226"/>
    <x v="17"/>
    <s v="Steve Di Bartlolmeo"/>
    <x v="5"/>
    <n v="0"/>
    <n v="0"/>
    <n v="0"/>
    <n v="2019"/>
  </r>
  <r>
    <s v="94-1693226"/>
    <x v="17"/>
    <s v="John Frye"/>
    <x v="6"/>
    <n v="0"/>
    <n v="0"/>
    <n v="0"/>
    <n v="2019"/>
  </r>
  <r>
    <s v="94-1693226"/>
    <x v="17"/>
    <s v="Katherine Mc Kee"/>
    <x v="7"/>
    <n v="0"/>
    <n v="0"/>
    <n v="0"/>
    <n v="2019"/>
  </r>
  <r>
    <s v="22-3902362"/>
    <x v="18"/>
    <s v="Justine Chiara"/>
    <x v="0"/>
    <n v="82400"/>
    <n v="0"/>
    <n v="0"/>
    <n v="2023"/>
  </r>
  <r>
    <s v="22-3902362"/>
    <x v="18"/>
    <s v="Rob Machado"/>
    <x v="20"/>
    <n v="0"/>
    <n v="0"/>
    <n v="0"/>
    <n v="2023"/>
  </r>
  <r>
    <s v="22-3902362"/>
    <x v="18"/>
    <s v="Carolyn Whitehouse"/>
    <x v="4"/>
    <n v="0"/>
    <n v="0"/>
    <n v="0"/>
    <n v="2023"/>
  </r>
  <r>
    <s v="22-3902362"/>
    <x v="18"/>
    <s v="Justine Chiara"/>
    <x v="21"/>
    <n v="44000"/>
    <n v="0"/>
    <n v="0"/>
    <n v="2022"/>
  </r>
  <r>
    <s v="22-3902362"/>
    <x v="18"/>
    <s v="Rob Machado"/>
    <x v="20"/>
    <n v="0"/>
    <n v="0"/>
    <n v="0"/>
    <n v="2022"/>
  </r>
  <r>
    <s v="22-3902362"/>
    <x v="18"/>
    <s v="Carolyn Whitehouse"/>
    <x v="4"/>
    <n v="0"/>
    <n v="0"/>
    <n v="0"/>
    <n v="2022"/>
  </r>
  <r>
    <s v="22-3902362"/>
    <x v="18"/>
    <s v="Justine Chiara"/>
    <x v="12"/>
    <n v="48000"/>
    <n v="0"/>
    <n v="0"/>
    <n v="2021"/>
  </r>
  <r>
    <s v="22-3902362"/>
    <x v="18"/>
    <s v="Rob Machado"/>
    <x v="5"/>
    <n v="0"/>
    <n v="0"/>
    <n v="0"/>
    <n v="2021"/>
  </r>
  <r>
    <s v="22-3902362"/>
    <x v="18"/>
    <s v="Carolyn Whitehouse"/>
    <x v="4"/>
    <n v="0"/>
    <n v="0"/>
    <n v="0"/>
    <n v="2021"/>
  </r>
  <r>
    <s v="22-3902362"/>
    <x v="18"/>
    <s v="Justine Chiara"/>
    <x v="12"/>
    <n v="48000"/>
    <n v="0"/>
    <n v="0"/>
    <n v="2020"/>
  </r>
  <r>
    <s v="22-3902362"/>
    <x v="18"/>
    <s v="Rob Machado"/>
    <x v="5"/>
    <n v="0"/>
    <n v="0"/>
    <n v="0"/>
    <n v="2020"/>
  </r>
  <r>
    <s v="22-3902362"/>
    <x v="18"/>
    <s v="Carolyn Whitehouse"/>
    <x v="4"/>
    <n v="0"/>
    <n v="0"/>
    <n v="0"/>
    <n v="2020"/>
  </r>
  <r>
    <s v="95-6377791"/>
    <x v="19"/>
    <s v="Charlie Nieto"/>
    <x v="5"/>
    <n v="0"/>
    <n v="0"/>
    <n v="0"/>
    <n v="2023"/>
  </r>
  <r>
    <s v="95-6377791"/>
    <x v="19"/>
    <s v="Liz Garcia"/>
    <x v="6"/>
    <n v="0"/>
    <n v="0"/>
    <n v="0"/>
    <n v="2023"/>
  </r>
  <r>
    <s v="95-6377791"/>
    <x v="19"/>
    <s v="Matthew Glassman"/>
    <x v="2"/>
    <n v="0"/>
    <n v="0"/>
    <n v="0"/>
    <n v="2023"/>
  </r>
  <r>
    <s v="95-6377791"/>
    <x v="19"/>
    <s v="Charlie Nieto"/>
    <x v="5"/>
    <n v="0"/>
    <n v="0"/>
    <n v="0"/>
    <n v="2022"/>
  </r>
  <r>
    <s v="95-6377791"/>
    <x v="19"/>
    <s v="Cathie Jolley"/>
    <x v="6"/>
    <n v="0"/>
    <n v="0"/>
    <n v="0"/>
    <n v="2022"/>
  </r>
  <r>
    <s v="95-6377791"/>
    <x v="19"/>
    <s v="Michael Herndon"/>
    <x v="2"/>
    <n v="0"/>
    <n v="0"/>
    <n v="0"/>
    <n v="2022"/>
  </r>
  <r>
    <s v="95-6377791"/>
    <x v="19"/>
    <s v="Marcella Bothwell"/>
    <x v="5"/>
    <n v="0"/>
    <n v="0"/>
    <n v="0"/>
    <n v="2021"/>
  </r>
  <r>
    <s v="95-6377791"/>
    <x v="19"/>
    <s v="Karl Rand"/>
    <x v="6"/>
    <n v="0"/>
    <n v="0"/>
    <n v="0"/>
    <n v="2021"/>
  </r>
  <r>
    <s v="95-6377791"/>
    <x v="19"/>
    <s v="Denise Friedman"/>
    <x v="2"/>
    <n v="0"/>
    <n v="0"/>
    <n v="0"/>
    <n v="2021"/>
  </r>
  <r>
    <s v="95-6377791"/>
    <x v="19"/>
    <s v="Brian White"/>
    <x v="5"/>
    <n v="0"/>
    <n v="0"/>
    <n v="0"/>
    <n v="2020"/>
  </r>
  <r>
    <s v="95-6377791"/>
    <x v="19"/>
    <s v="Greg Daunaras"/>
    <x v="6"/>
    <n v="0"/>
    <n v="0"/>
    <n v="0"/>
    <n v="2020"/>
  </r>
  <r>
    <s v="95-6377791"/>
    <x v="19"/>
    <s v="Marcella Bothwell"/>
    <x v="2"/>
    <n v="0"/>
    <n v="0"/>
    <n v="0"/>
    <n v="2020"/>
  </r>
  <r>
    <s v="33-0537412"/>
    <x v="20"/>
    <s v="Gary Dwight"/>
    <x v="5"/>
    <n v="0"/>
    <n v="0"/>
    <n v="0"/>
    <n v="2023"/>
  </r>
  <r>
    <s v="33-0537412"/>
    <x v="20"/>
    <s v="John Sestich"/>
    <x v="6"/>
    <n v="0"/>
    <n v="0"/>
    <n v="0"/>
    <n v="2023"/>
  </r>
  <r>
    <s v="33-0537412"/>
    <x v="20"/>
    <s v="Rondalyn Iacono"/>
    <x v="22"/>
    <n v="0"/>
    <n v="0"/>
    <n v="0"/>
    <n v="2023"/>
  </r>
  <r>
    <s v="33-0537412"/>
    <x v="20"/>
    <s v="Gary Dwight"/>
    <x v="5"/>
    <n v="0"/>
    <n v="0"/>
    <n v="0"/>
    <n v="2022"/>
  </r>
  <r>
    <s v="33-0537412"/>
    <x v="20"/>
    <s v="Daniel Meisser"/>
    <x v="7"/>
    <n v="0"/>
    <n v="0"/>
    <n v="0"/>
    <n v="2022"/>
  </r>
  <r>
    <s v="33-0537412"/>
    <x v="20"/>
    <s v="Rondalyn Iacono"/>
    <x v="22"/>
    <n v="0"/>
    <n v="0"/>
    <n v="0"/>
    <n v="2022"/>
  </r>
  <r>
    <s v="33-0537412"/>
    <x v="20"/>
    <s v="Gary Dwight"/>
    <x v="5"/>
    <n v="0"/>
    <n v="0"/>
    <n v="0"/>
    <n v="2021"/>
  </r>
  <r>
    <s v="33-0537412"/>
    <x v="20"/>
    <s v="Daniel Meisser"/>
    <x v="7"/>
    <n v="0"/>
    <n v="0"/>
    <n v="0"/>
    <n v="2021"/>
  </r>
  <r>
    <s v="33-0537412"/>
    <x v="20"/>
    <s v="Rondalyn Iacono"/>
    <x v="22"/>
    <n v="0"/>
    <n v="0"/>
    <n v="0"/>
    <n v="2021"/>
  </r>
  <r>
    <s v="33-0537412"/>
    <x v="20"/>
    <s v="Gary Dwight"/>
    <x v="5"/>
    <n v="0"/>
    <n v="0"/>
    <n v="0"/>
    <n v="2020"/>
  </r>
  <r>
    <s v="33-0537412"/>
    <x v="20"/>
    <s v="Daniel Meisser"/>
    <x v="7"/>
    <n v="0"/>
    <n v="0"/>
    <n v="0"/>
    <n v="2020"/>
  </r>
  <r>
    <s v="33-0537412"/>
    <x v="20"/>
    <s v="Rondalyn Iacono"/>
    <x v="22"/>
    <n v="0"/>
    <n v="0"/>
    <n v="0"/>
    <n v="2020"/>
  </r>
  <r>
    <s v="45-3042628"/>
    <x v="21"/>
    <s v="Mike Redman"/>
    <x v="5"/>
    <n v="2000"/>
    <n v="0"/>
    <n v="0"/>
    <n v="2023"/>
  </r>
  <r>
    <s v="45-3042628"/>
    <x v="21"/>
    <s v="Max Wittenberg"/>
    <x v="1"/>
    <n v="0"/>
    <n v="0"/>
    <n v="0"/>
    <n v="2023"/>
  </r>
  <r>
    <s v="45-3042628"/>
    <x v="21"/>
    <s v="Patti M Walsh"/>
    <x v="4"/>
    <n v="0"/>
    <n v="0"/>
    <n v="0"/>
    <n v="2023"/>
  </r>
  <r>
    <s v="45-3042628"/>
    <x v="21"/>
    <s v="Cathy Carey"/>
    <x v="5"/>
    <n v="72000"/>
    <n v="0"/>
    <n v="0"/>
    <n v="2022"/>
  </r>
  <r>
    <s v="45-3042628"/>
    <x v="21"/>
    <s v="Mike Redman"/>
    <x v="6"/>
    <n v="12000"/>
    <n v="0"/>
    <n v="0"/>
    <n v="2022"/>
  </r>
  <r>
    <s v="45-3042628"/>
    <x v="21"/>
    <s v="Max Wittenberg"/>
    <x v="1"/>
    <n v="0"/>
    <n v="0"/>
    <n v="0"/>
    <n v="2022"/>
  </r>
  <r>
    <s v="45-3042628"/>
    <x v="21"/>
    <s v="Mike Redman"/>
    <x v="5"/>
    <n v="0"/>
    <n v="0"/>
    <n v="0"/>
    <n v="2021"/>
  </r>
  <r>
    <s v="45-3042628"/>
    <x v="21"/>
    <s v="Megan M Mc Carthy"/>
    <x v="23"/>
    <n v="0"/>
    <n v="0"/>
    <n v="0"/>
    <n v="2021"/>
  </r>
  <r>
    <s v="45-3042628"/>
    <x v="21"/>
    <s v="Mark Patterson"/>
    <x v="24"/>
    <n v="0"/>
    <n v="0"/>
    <n v="0"/>
    <n v="2021"/>
  </r>
  <r>
    <s v="45-3042628"/>
    <x v="21"/>
    <s v="Robert Nichols"/>
    <x v="25"/>
    <n v="96833"/>
    <n v="0"/>
    <n v="0"/>
    <n v="2020"/>
  </r>
  <r>
    <s v="45-3042628"/>
    <x v="21"/>
    <s v="Megan M Mc Carthy"/>
    <x v="26"/>
    <n v="88167"/>
    <n v="0"/>
    <n v="0"/>
    <n v="2020"/>
  </r>
  <r>
    <s v="45-3042628"/>
    <x v="21"/>
    <s v="Mike Redman"/>
    <x v="1"/>
    <n v="2200"/>
    <n v="0"/>
    <n v="0"/>
    <n v="2020"/>
  </r>
  <r>
    <s v="45-3042628"/>
    <x v="21"/>
    <s v="Robert Nichols"/>
    <x v="12"/>
    <n v="123938"/>
    <n v="0"/>
    <n v="0"/>
    <n v="2019"/>
  </r>
  <r>
    <s v="45-3042628"/>
    <x v="21"/>
    <s v="Megan Mccarthy"/>
    <x v="4"/>
    <n v="97700"/>
    <n v="0"/>
    <n v="0"/>
    <n v="2019"/>
  </r>
  <r>
    <s v="45-3042628"/>
    <x v="21"/>
    <s v="Brad Hanson"/>
    <x v="2"/>
    <n v="5400"/>
    <n v="0"/>
    <n v="0"/>
    <n v="2019"/>
  </r>
  <r>
    <s v="45-3042628"/>
    <x v="21"/>
    <s v="Robert Nichols"/>
    <x v="12"/>
    <n v="85245"/>
    <n v="0"/>
    <n v="0"/>
    <n v="2017"/>
  </r>
  <r>
    <s v="45-3042628"/>
    <x v="21"/>
    <s v="Megan Mccarthy"/>
    <x v="1"/>
    <n v="72434"/>
    <n v="0"/>
    <n v="0"/>
    <n v="2017"/>
  </r>
  <r>
    <s v="45-3042628"/>
    <x v="21"/>
    <s v="Mark Patterson"/>
    <x v="24"/>
    <n v="0"/>
    <n v="0"/>
    <n v="0"/>
    <n v="2017"/>
  </r>
  <r>
    <s v="45-3042628"/>
    <x v="21"/>
    <s v="Robert Nichols"/>
    <x v="5"/>
    <n v="9000"/>
    <n v="9000"/>
    <n v="0"/>
    <n v="2015"/>
  </r>
  <r>
    <s v="45-3042628"/>
    <x v="21"/>
    <s v="Megan Mccarthy"/>
    <x v="2"/>
    <n v="9000"/>
    <n v="9000"/>
    <n v="0"/>
    <n v="2015"/>
  </r>
  <r>
    <s v="45-3042628"/>
    <x v="21"/>
    <s v="Mark Patterson"/>
    <x v="6"/>
    <n v="0"/>
    <n v="0"/>
    <n v="0"/>
    <n v="2015"/>
  </r>
  <r>
    <s v="45-3042628"/>
    <x v="21"/>
    <s v="Robert Nichols"/>
    <x v="5"/>
    <n v="18000"/>
    <n v="0"/>
    <n v="0"/>
    <n v="2014"/>
  </r>
  <r>
    <s v="45-3042628"/>
    <x v="21"/>
    <s v="Megan Mccarthy"/>
    <x v="2"/>
    <n v="0"/>
    <n v="0"/>
    <n v="0"/>
    <n v="2014"/>
  </r>
  <r>
    <s v="95-2496099"/>
    <x v="22"/>
    <s v="Mark Wilkinson"/>
    <x v="0"/>
    <n v="54000"/>
    <n v="0"/>
    <n v="0"/>
    <n v="2023"/>
  </r>
  <r>
    <s v="95-2496099"/>
    <x v="22"/>
    <s v="Otis Calef"/>
    <x v="5"/>
    <n v="0"/>
    <n v="0"/>
    <n v="0"/>
    <n v="2023"/>
  </r>
  <r>
    <s v="95-2496099"/>
    <x v="22"/>
    <s v="Dan Gira"/>
    <x v="6"/>
    <n v="0"/>
    <n v="0"/>
    <n v="0"/>
    <n v="2023"/>
  </r>
  <r>
    <s v="95-2496099"/>
    <x v="22"/>
    <s v="Kevin Wallace"/>
    <x v="4"/>
    <n v="0"/>
    <n v="0"/>
    <n v="0"/>
    <n v="2023"/>
  </r>
  <r>
    <s v="95-2496099"/>
    <x v="22"/>
    <s v="Paul Herning"/>
    <x v="2"/>
    <n v="0"/>
    <n v="0"/>
    <n v="0"/>
    <n v="2023"/>
  </r>
  <r>
    <s v="95-2496099"/>
    <x v="22"/>
    <s v="Mark Wilkinson"/>
    <x v="0"/>
    <n v="54000"/>
    <n v="0"/>
    <n v="0"/>
    <n v="2022"/>
  </r>
  <r>
    <s v="95-2496099"/>
    <x v="22"/>
    <s v="Dan Gira"/>
    <x v="6"/>
    <n v="0"/>
    <n v="0"/>
    <n v="0"/>
    <n v="2022"/>
  </r>
  <r>
    <s v="95-2496099"/>
    <x v="22"/>
    <s v="Kevin Wallace"/>
    <x v="4"/>
    <n v="0"/>
    <n v="0"/>
    <n v="0"/>
    <n v="2022"/>
  </r>
  <r>
    <s v="95-2496099"/>
    <x v="22"/>
    <s v="Mark Wilkinson"/>
    <x v="0"/>
    <n v="54000"/>
    <n v="0"/>
    <n v="0"/>
    <n v="2021"/>
  </r>
  <r>
    <s v="95-2496099"/>
    <x v="22"/>
    <s v="Dan Gira"/>
    <x v="6"/>
    <n v="0"/>
    <n v="0"/>
    <n v="0"/>
    <n v="2021"/>
  </r>
  <r>
    <s v="95-2496099"/>
    <x v="22"/>
    <s v="Kevin Wallace"/>
    <x v="4"/>
    <n v="0"/>
    <n v="0"/>
    <n v="0"/>
    <n v="2021"/>
  </r>
  <r>
    <s v="95-2496099"/>
    <x v="22"/>
    <s v="Mark Wilkinson"/>
    <x v="0"/>
    <n v="48500"/>
    <n v="0"/>
    <n v="0"/>
    <n v="2020"/>
  </r>
  <r>
    <s v="95-2496099"/>
    <x v="22"/>
    <s v="Dan Gira"/>
    <x v="6"/>
    <n v="0"/>
    <n v="0"/>
    <n v="0"/>
    <n v="2020"/>
  </r>
  <r>
    <s v="95-2496099"/>
    <x v="22"/>
    <s v="Kevin Wallace"/>
    <x v="4"/>
    <n v="0"/>
    <n v="0"/>
    <n v="0"/>
    <n v="2020"/>
  </r>
  <r>
    <s v="95-2496099"/>
    <x v="22"/>
    <s v="Mark Wilkinson"/>
    <x v="0"/>
    <n v="47000"/>
    <n v="0"/>
    <n v="0"/>
    <n v="2019"/>
  </r>
  <r>
    <s v="95-2496099"/>
    <x v="22"/>
    <s v="Dan Gira"/>
    <x v="6"/>
    <n v="0"/>
    <n v="0"/>
    <n v="0"/>
    <n v="2019"/>
  </r>
  <r>
    <s v="95-2496099"/>
    <x v="22"/>
    <s v="Kevin Wallace"/>
    <x v="4"/>
    <n v="0"/>
    <n v="0"/>
    <n v="0"/>
    <n v="2019"/>
  </r>
  <r>
    <s v="95-2496099"/>
    <x v="22"/>
    <s v="Mark Wilkinson"/>
    <x v="0"/>
    <n v="36000"/>
    <n v="0"/>
    <n v="0"/>
    <n v="2018"/>
  </r>
  <r>
    <s v="95-2496099"/>
    <x v="22"/>
    <s v="Dan Gira"/>
    <x v="6"/>
    <n v="0"/>
    <n v="0"/>
    <n v="0"/>
    <n v="2018"/>
  </r>
  <r>
    <s v="95-2496099"/>
    <x v="22"/>
    <s v="Kevin Wallace"/>
    <x v="4"/>
    <n v="0"/>
    <n v="0"/>
    <n v="0"/>
    <n v="2018"/>
  </r>
  <r>
    <s v="45-2639830"/>
    <x v="23"/>
    <s v="Brock Cahill"/>
    <x v="5"/>
    <n v="0"/>
    <n v="0"/>
    <n v="0"/>
    <n v="2023"/>
  </r>
  <r>
    <s v="45-2639830"/>
    <x v="23"/>
    <s v="Erin Politz"/>
    <x v="6"/>
    <n v="0"/>
    <n v="0"/>
    <n v="0"/>
    <n v="2023"/>
  </r>
  <r>
    <s v="45-2639830"/>
    <x v="23"/>
    <s v="Andrew Benavides"/>
    <x v="18"/>
    <n v="0"/>
    <n v="0"/>
    <n v="0"/>
    <n v="2023"/>
  </r>
  <r>
    <s v="45-2639830"/>
    <x v="23"/>
    <s v="Brock Cahill"/>
    <x v="5"/>
    <n v="0"/>
    <n v="0"/>
    <n v="0"/>
    <n v="2022"/>
  </r>
  <r>
    <s v="45-2639830"/>
    <x v="23"/>
    <s v="Erin Politz"/>
    <x v="6"/>
    <n v="0"/>
    <n v="0"/>
    <n v="0"/>
    <n v="2022"/>
  </r>
  <r>
    <s v="45-2639830"/>
    <x v="23"/>
    <s v="Andrew Benavides"/>
    <x v="27"/>
    <n v="0"/>
    <n v="0"/>
    <n v="0"/>
    <n v="2022"/>
  </r>
  <r>
    <s v="45-2639830"/>
    <x v="23"/>
    <s v="Brock Cahill"/>
    <x v="5"/>
    <n v="0"/>
    <n v="0"/>
    <n v="0"/>
    <n v="2020"/>
  </r>
  <r>
    <s v="45-2639830"/>
    <x v="23"/>
    <s v="Erin Politz"/>
    <x v="6"/>
    <n v="0"/>
    <n v="0"/>
    <n v="0"/>
    <n v="2020"/>
  </r>
  <r>
    <s v="45-2639830"/>
    <x v="23"/>
    <s v="Dylan Drew"/>
    <x v="28"/>
    <n v="0"/>
    <n v="0"/>
    <n v="0"/>
    <n v="2020"/>
  </r>
  <r>
    <s v="45-2639830"/>
    <x v="23"/>
    <s v="Brock Cahill"/>
    <x v="5"/>
    <n v="0"/>
    <n v="0"/>
    <n v="0"/>
    <n v="2018"/>
  </r>
  <r>
    <s v="45-2639830"/>
    <x v="23"/>
    <s v="Erin Politz"/>
    <x v="6"/>
    <n v="0"/>
    <n v="0"/>
    <n v="0"/>
    <n v="2018"/>
  </r>
  <r>
    <s v="45-2639830"/>
    <x v="23"/>
    <s v="Brock Cahill"/>
    <x v="5"/>
    <n v="0"/>
    <n v="0"/>
    <n v="0"/>
    <n v="2017"/>
  </r>
  <r>
    <s v="45-2639830"/>
    <x v="23"/>
    <s v="Erin Politz"/>
    <x v="6"/>
    <n v="0"/>
    <n v="0"/>
    <n v="0"/>
    <n v="2017"/>
  </r>
  <r>
    <s v="45-2639830"/>
    <x v="23"/>
    <s v="Brock Cahill"/>
    <x v="5"/>
    <n v="0"/>
    <n v="0"/>
    <n v="0"/>
    <n v="2016"/>
  </r>
  <r>
    <s v="45-2639830"/>
    <x v="23"/>
    <s v="Erin Politz"/>
    <x v="6"/>
    <n v="0"/>
    <n v="0"/>
    <n v="0"/>
    <n v="2016"/>
  </r>
  <r>
    <s v="95-3273023"/>
    <x v="24"/>
    <s v="Stuart Cowan"/>
    <x v="0"/>
    <n v="175975"/>
    <n v="0"/>
    <n v="0"/>
    <n v="2023"/>
  </r>
  <r>
    <s v="95-3273023"/>
    <x v="24"/>
    <s v="Faith Flanigan"/>
    <x v="29"/>
    <n v="123309"/>
    <n v="0"/>
    <n v="0"/>
    <n v="2022"/>
  </r>
  <r>
    <s v="95-3273023"/>
    <x v="24"/>
    <s v="Amanda Ravenhill"/>
    <x v="1"/>
    <n v="50550"/>
    <n v="0"/>
    <n v="0"/>
    <n v="2022"/>
  </r>
  <r>
    <s v="95-3273023"/>
    <x v="24"/>
    <s v="Amanda Ravenhill"/>
    <x v="0"/>
    <n v="112875"/>
    <n v="0"/>
    <n v="6553"/>
    <n v="2019"/>
  </r>
  <r>
    <s v="95-3273023"/>
    <x v="24"/>
    <s v="Faith Flanigan"/>
    <x v="29"/>
    <n v="74707"/>
    <n v="0"/>
    <n v="7650"/>
    <n v="2019"/>
  </r>
  <r>
    <s v="95-3273023"/>
    <x v="24"/>
    <s v="Elizabeth Thompson"/>
    <x v="0"/>
    <n v="95000"/>
    <n v="0"/>
    <n v="0"/>
    <n v="2015"/>
  </r>
  <r>
    <s v="95-3273023"/>
    <x v="24"/>
    <s v="David Mc Conville"/>
    <x v="5"/>
    <n v="0"/>
    <n v="0"/>
    <n v="0"/>
    <n v="2015"/>
  </r>
  <r>
    <s v="95-3273023"/>
    <x v="24"/>
    <s v="Elizabeth Thompson"/>
    <x v="0"/>
    <n v="96873"/>
    <n v="0"/>
    <n v="0"/>
    <n v="2014"/>
  </r>
  <r>
    <s v="95-3273023"/>
    <x v="24"/>
    <s v="David Mc Conville"/>
    <x v="5"/>
    <n v="0"/>
    <n v="0"/>
    <n v="0"/>
    <n v="2014"/>
  </r>
  <r>
    <s v="95-3273023"/>
    <x v="24"/>
    <s v="Amanda Ravenhill"/>
    <x v="0"/>
    <n v="36308"/>
    <n v="0"/>
    <n v="0"/>
    <n v="2013"/>
  </r>
  <r>
    <s v="68-0120240"/>
    <x v="25"/>
    <s v="Sejal Choksi Chugh"/>
    <x v="0"/>
    <n v="163173"/>
    <n v="0"/>
    <n v="5521"/>
    <n v="2023"/>
  </r>
  <r>
    <s v="68-0120240"/>
    <x v="25"/>
    <s v="Eliet Henderson"/>
    <x v="30"/>
    <n v="113411"/>
    <n v="0"/>
    <n v="11143"/>
    <n v="2023"/>
  </r>
  <r>
    <s v="68-0120240"/>
    <x v="25"/>
    <s v="Mark Westlund"/>
    <x v="31"/>
    <n v="112633"/>
    <n v="0"/>
    <n v="3379"/>
    <n v="2023"/>
  </r>
  <r>
    <s v="68-0120240"/>
    <x v="25"/>
    <s v="Sejal Choksi Chugh"/>
    <x v="0"/>
    <n v="154138"/>
    <n v="0"/>
    <n v="9908"/>
    <n v="2022"/>
  </r>
  <r>
    <s v="68-0120240"/>
    <x v="25"/>
    <s v="Eliet Henderson"/>
    <x v="30"/>
    <n v="111584"/>
    <n v="0"/>
    <n v="14387"/>
    <n v="2022"/>
  </r>
  <r>
    <s v="68-0120240"/>
    <x v="25"/>
    <s v="Jonathan Rosenfield"/>
    <x v="32"/>
    <n v="108488"/>
    <n v="0"/>
    <n v="17153"/>
    <n v="2022"/>
  </r>
  <r>
    <s v="68-0120240"/>
    <x v="25"/>
    <s v="Sejal Choksi Chugh"/>
    <x v="0"/>
    <n v="140570"/>
    <n v="0"/>
    <n v="7705"/>
    <n v="2021"/>
  </r>
  <r>
    <s v="68-0120240"/>
    <x v="25"/>
    <s v="Jeremy Nelson"/>
    <x v="33"/>
    <n v="84537"/>
    <n v="0"/>
    <n v="4253"/>
    <n v="2021"/>
  </r>
  <r>
    <s v="68-0120240"/>
    <x v="25"/>
    <s v="Kirsten Anderson"/>
    <x v="33"/>
    <n v="7179"/>
    <n v="0"/>
    <n v="0"/>
    <n v="2021"/>
  </r>
  <r>
    <s v="68-0120240"/>
    <x v="25"/>
    <s v="Sejal Choksi Chugh"/>
    <x v="0"/>
    <n v="138110"/>
    <n v="0"/>
    <n v="4768"/>
    <n v="2020"/>
  </r>
  <r>
    <s v="68-0120240"/>
    <x v="25"/>
    <s v="Eliet Henderson"/>
    <x v="30"/>
    <n v="103724"/>
    <n v="0"/>
    <n v="0"/>
    <n v="2020"/>
  </r>
  <r>
    <s v="68-0120240"/>
    <x v="25"/>
    <s v="Jeremy Nelson"/>
    <x v="33"/>
    <n v="83027"/>
    <n v="0"/>
    <n v="2491"/>
    <n v="2020"/>
  </r>
  <r>
    <s v="68-0120240"/>
    <x v="25"/>
    <s v="Sejal Choksi Chugh"/>
    <x v="0"/>
    <n v="134046"/>
    <n v="0"/>
    <n v="7263"/>
    <n v="2019"/>
  </r>
  <r>
    <s v="68-0120240"/>
    <x v="25"/>
    <s v="Erica Maharg"/>
    <x v="34"/>
    <n v="100586"/>
    <n v="0"/>
    <n v="11233"/>
    <n v="2019"/>
  </r>
  <r>
    <s v="68-0120240"/>
    <x v="25"/>
    <s v="Jeremy Nelson"/>
    <x v="33"/>
    <n v="80680"/>
    <n v="0"/>
    <n v="4012"/>
    <n v="2019"/>
  </r>
  <r>
    <s v="95-2566791"/>
    <x v="26"/>
    <s v="Steve Morris"/>
    <x v="0"/>
    <n v="121225"/>
    <n v="0"/>
    <n v="30234"/>
    <n v="2023"/>
  </r>
  <r>
    <s v="95-2566791"/>
    <x v="26"/>
    <s v="Kenneth Moore"/>
    <x v="5"/>
    <n v="0"/>
    <n v="0"/>
    <n v="0"/>
    <n v="2023"/>
  </r>
  <r>
    <s v="95-2566791"/>
    <x v="26"/>
    <s v="Denise Price"/>
    <x v="4"/>
    <n v="0"/>
    <n v="0"/>
    <n v="0"/>
    <n v="2023"/>
  </r>
  <r>
    <s v="95-2566791"/>
    <x v="26"/>
    <s v="Len Hering"/>
    <x v="0"/>
    <n v="97820"/>
    <n v="0"/>
    <n v="8436"/>
    <n v="2021"/>
  </r>
  <r>
    <s v="95-2566791"/>
    <x v="26"/>
    <s v="Natalie Decarli"/>
    <x v="35"/>
    <n v="23875"/>
    <n v="0"/>
    <n v="225"/>
    <n v="2022"/>
  </r>
  <r>
    <s v="95-2566791"/>
    <x v="26"/>
    <s v="Pauline Martinson"/>
    <x v="0"/>
    <n v="54484"/>
    <n v="0"/>
    <n v="14426"/>
    <n v="2018"/>
  </r>
  <r>
    <s v="77-0565183"/>
    <x v="27"/>
    <s v="Hillary Hauser"/>
    <x v="5"/>
    <n v="120000"/>
    <n v="0"/>
    <n v="36199"/>
    <n v="2023"/>
  </r>
  <r>
    <s v="77-0565183"/>
    <x v="27"/>
    <s v="Jean Michel Cousteau"/>
    <x v="1"/>
    <n v="0"/>
    <n v="0"/>
    <n v="0"/>
    <n v="2023"/>
  </r>
  <r>
    <s v="77-0565183"/>
    <x v="27"/>
    <s v="Charles Vinick"/>
    <x v="1"/>
    <n v="0"/>
    <n v="0"/>
    <n v="0"/>
    <n v="2023"/>
  </r>
  <r>
    <s v="77-0565183"/>
    <x v="27"/>
    <s v="Hillary Hauser"/>
    <x v="5"/>
    <n v="120000"/>
    <n v="0"/>
    <n v="35450"/>
    <n v="2022"/>
  </r>
  <r>
    <s v="77-0565183"/>
    <x v="27"/>
    <s v="Jean Michel Cousteau"/>
    <x v="1"/>
    <n v="0"/>
    <n v="0"/>
    <n v="0"/>
    <n v="2022"/>
  </r>
  <r>
    <s v="77-0565183"/>
    <x v="27"/>
    <s v="Charles Vinick"/>
    <x v="1"/>
    <n v="0"/>
    <n v="0"/>
    <n v="0"/>
    <n v="2022"/>
  </r>
  <r>
    <s v="77-0565183"/>
    <x v="27"/>
    <s v="Hillary Hauser"/>
    <x v="5"/>
    <n v="120000"/>
    <n v="0"/>
    <n v="35300"/>
    <n v="2021"/>
  </r>
  <r>
    <s v="77-0565183"/>
    <x v="27"/>
    <s v="Jean Michel Cousteau"/>
    <x v="1"/>
    <n v="0"/>
    <n v="0"/>
    <n v="0"/>
    <n v="2021"/>
  </r>
  <r>
    <s v="77-0565183"/>
    <x v="27"/>
    <s v="Charles Vinick"/>
    <x v="1"/>
    <n v="0"/>
    <n v="0"/>
    <n v="0"/>
    <n v="2021"/>
  </r>
  <r>
    <s v="77-0565183"/>
    <x v="27"/>
    <s v="Hillary Hauser"/>
    <x v="5"/>
    <n v="120000"/>
    <n v="0"/>
    <n v="35250"/>
    <n v="2020"/>
  </r>
  <r>
    <s v="77-0565183"/>
    <x v="27"/>
    <s v="Jean Michel Cousteau"/>
    <x v="1"/>
    <n v="0"/>
    <n v="0"/>
    <n v="0"/>
    <n v="2020"/>
  </r>
  <r>
    <s v="77-0565183"/>
    <x v="27"/>
    <s v="Charles Vinick"/>
    <x v="1"/>
    <n v="0"/>
    <n v="0"/>
    <n v="0"/>
    <n v="2020"/>
  </r>
  <r>
    <s v="77-0565183"/>
    <x v="27"/>
    <s v="Hillary Hauser"/>
    <x v="5"/>
    <n v="120000"/>
    <n v="0"/>
    <n v="16324"/>
    <n v="2019"/>
  </r>
  <r>
    <s v="77-0565183"/>
    <x v="27"/>
    <s v="Jean Michel Cousteau"/>
    <x v="1"/>
    <n v="0"/>
    <n v="0"/>
    <n v="0"/>
    <n v="2019"/>
  </r>
  <r>
    <s v="77-0565183"/>
    <x v="27"/>
    <s v="Charles Vinick"/>
    <x v="1"/>
    <n v="0"/>
    <n v="0"/>
    <n v="0"/>
    <n v="2019"/>
  </r>
  <r>
    <s v="77-0565183"/>
    <x v="27"/>
    <s v="Hillary Hauser"/>
    <x v="5"/>
    <n v="120000"/>
    <n v="0"/>
    <n v="5050"/>
    <n v="2018"/>
  </r>
  <r>
    <s v="77-0565183"/>
    <x v="27"/>
    <s v="Jean Michel Cousteau"/>
    <x v="1"/>
    <n v="0"/>
    <n v="0"/>
    <n v="0"/>
    <n v="2018"/>
  </r>
  <r>
    <s v="77-0565183"/>
    <x v="27"/>
    <s v="Charles Vinick"/>
    <x v="1"/>
    <n v="0"/>
    <n v="0"/>
    <n v="0"/>
    <n v="2018"/>
  </r>
  <r>
    <s v="77-0565183"/>
    <x v="27"/>
    <s v="Hillary Hauser"/>
    <x v="5"/>
    <n v="85872"/>
    <n v="0"/>
    <n v="4115"/>
    <n v="2017"/>
  </r>
  <r>
    <s v="77-0565183"/>
    <x v="27"/>
    <s v="Jean Michel Cousteau"/>
    <x v="1"/>
    <n v="0"/>
    <n v="0"/>
    <n v="0"/>
    <n v="2017"/>
  </r>
  <r>
    <s v="77-0565183"/>
    <x v="27"/>
    <s v="Charles Vinick"/>
    <x v="1"/>
    <n v="0"/>
    <n v="0"/>
    <n v="0"/>
    <n v="2017"/>
  </r>
  <r>
    <s v="77-0565183"/>
    <x v="27"/>
    <s v="Hillary Hauser"/>
    <x v="5"/>
    <n v="77544"/>
    <n v="0"/>
    <n v="0"/>
    <n v="2016"/>
  </r>
  <r>
    <s v="77-0565183"/>
    <x v="27"/>
    <s v="Jean Michel Cousteau"/>
    <x v="1"/>
    <n v="0"/>
    <n v="0"/>
    <n v="0"/>
    <n v="2016"/>
  </r>
  <r>
    <s v="77-0565183"/>
    <x v="27"/>
    <s v="Thomas Dabney"/>
    <x v="2"/>
    <n v="0"/>
    <n v="0"/>
    <n v="0"/>
    <n v="2015"/>
  </r>
  <r>
    <s v="82-4594246"/>
    <x v="28"/>
    <s v="Monica Chen"/>
    <x v="0"/>
    <n v="78464"/>
    <n v="0"/>
    <n v="0"/>
    <n v="2023"/>
  </r>
  <r>
    <s v="82-4594246"/>
    <x v="28"/>
    <s v="Jesse Tandler"/>
    <x v="36"/>
    <n v="0"/>
    <n v="0"/>
    <n v="0"/>
    <n v="2023"/>
  </r>
  <r>
    <s v="82-4594246"/>
    <x v="28"/>
    <s v="Bonnie Brown"/>
    <x v="37"/>
    <n v="0"/>
    <n v="0"/>
    <n v="0"/>
    <n v="2023"/>
  </r>
  <r>
    <s v="82-4594246"/>
    <x v="28"/>
    <s v="Monica Chen"/>
    <x v="0"/>
    <n v="68190"/>
    <n v="0"/>
    <n v="0"/>
    <n v="2022"/>
  </r>
  <r>
    <s v="82-4594246"/>
    <x v="28"/>
    <s v="Dr. Verena Rossa Roccor"/>
    <x v="38"/>
    <n v="0"/>
    <n v="0"/>
    <n v="0"/>
    <n v="2022"/>
  </r>
  <r>
    <s v="82-4594246"/>
    <x v="28"/>
    <s v="Bonnie Brown"/>
    <x v="1"/>
    <n v="0"/>
    <n v="0"/>
    <n v="0"/>
    <n v="2022"/>
  </r>
  <r>
    <s v="82-4594246"/>
    <x v="28"/>
    <s v="Monica Chen"/>
    <x v="0"/>
    <n v="58885"/>
    <n v="0"/>
    <n v="2792"/>
    <n v="2021"/>
  </r>
  <r>
    <s v="82-4594246"/>
    <x v="28"/>
    <s v="Dr. Verena Rossa Roccor"/>
    <x v="38"/>
    <n v="0"/>
    <n v="0"/>
    <n v="0"/>
    <n v="2021"/>
  </r>
  <r>
    <s v="82-4594246"/>
    <x v="28"/>
    <s v="Bonnie Brown"/>
    <x v="1"/>
    <n v="0"/>
    <n v="0"/>
    <n v="0"/>
    <n v="2021"/>
  </r>
  <r>
    <s v="82-4594246"/>
    <x v="28"/>
    <s v="Monica Chen"/>
    <x v="0"/>
    <n v="61429"/>
    <n v="0"/>
    <n v="1081"/>
    <n v="2020"/>
  </r>
  <r>
    <s v="82-4594246"/>
    <x v="28"/>
    <s v="Katherine Cantrell"/>
    <x v="39"/>
    <n v="21425"/>
    <n v="0"/>
    <n v="0"/>
    <n v="2020"/>
  </r>
  <r>
    <s v="82-4594246"/>
    <x v="28"/>
    <s v="Gabriel Wildgen"/>
    <x v="1"/>
    <n v="0"/>
    <n v="0"/>
    <n v="0"/>
    <n v="2020"/>
  </r>
  <r>
    <s v="82-4594246"/>
    <x v="28"/>
    <s v="Katie Cantrell"/>
    <x v="0"/>
    <n v="45000"/>
    <n v="0"/>
    <n v="0"/>
    <n v="2019"/>
  </r>
  <r>
    <s v="82-4594246"/>
    <x v="28"/>
    <s v="Dr. Verena Rossa Roccor"/>
    <x v="3"/>
    <n v="0"/>
    <n v="0"/>
    <n v="0"/>
    <n v="2019"/>
  </r>
  <r>
    <s v="82-4594246"/>
    <x v="28"/>
    <s v="Clare Ellis"/>
    <x v="4"/>
    <n v="0"/>
    <n v="0"/>
    <n v="0"/>
    <n v="2019"/>
  </r>
  <r>
    <s v="83-1159078"/>
    <x v="29"/>
    <s v="William C. Winder"/>
    <x v="12"/>
    <n v="0"/>
    <n v="0"/>
    <n v="0"/>
    <n v="2023"/>
  </r>
  <r>
    <s v="83-1159078"/>
    <x v="29"/>
    <s v="Janet Winder Steed"/>
    <x v="2"/>
    <n v="0"/>
    <n v="0"/>
    <n v="0"/>
    <n v="2023"/>
  </r>
  <r>
    <s v="83-1159078"/>
    <x v="29"/>
    <s v="W David Winder"/>
    <x v="7"/>
    <n v="0"/>
    <n v="0"/>
    <n v="0"/>
    <n v="2023"/>
  </r>
  <r>
    <s v="83-1159078"/>
    <x v="29"/>
    <s v="William C. Winder"/>
    <x v="12"/>
    <n v="0"/>
    <n v="0"/>
    <n v="0"/>
    <n v="2022"/>
  </r>
  <r>
    <s v="83-1159078"/>
    <x v="29"/>
    <s v="Janet Winder Steed"/>
    <x v="2"/>
    <n v="0"/>
    <n v="0"/>
    <n v="0"/>
    <n v="2022"/>
  </r>
  <r>
    <s v="83-1159078"/>
    <x v="29"/>
    <s v="W David Winder"/>
    <x v="7"/>
    <n v="0"/>
    <n v="0"/>
    <n v="0"/>
    <n v="2022"/>
  </r>
  <r>
    <s v="83-1159078"/>
    <x v="29"/>
    <s v="William C. Winder"/>
    <x v="12"/>
    <n v="0"/>
    <n v="0"/>
    <n v="0"/>
    <n v="2021"/>
  </r>
  <r>
    <s v="83-1159078"/>
    <x v="29"/>
    <s v="Janet Winder Steed"/>
    <x v="2"/>
    <n v="0"/>
    <n v="0"/>
    <n v="0"/>
    <n v="2021"/>
  </r>
  <r>
    <s v="83-1159078"/>
    <x v="29"/>
    <s v="W David Winder"/>
    <x v="7"/>
    <n v="0"/>
    <n v="0"/>
    <n v="0"/>
    <n v="2021"/>
  </r>
  <r>
    <s v="83-1159078"/>
    <x v="29"/>
    <s v="William C. Winder"/>
    <x v="12"/>
    <n v="0"/>
    <n v="0"/>
    <n v="0"/>
    <n v="2020"/>
  </r>
  <r>
    <s v="83-1159078"/>
    <x v="29"/>
    <s v="Janet Winder Steed"/>
    <x v="2"/>
    <n v="0"/>
    <n v="0"/>
    <n v="0"/>
    <n v="2020"/>
  </r>
  <r>
    <s v="83-1159078"/>
    <x v="29"/>
    <s v="Edward A. Winder"/>
    <x v="7"/>
    <n v="0"/>
    <n v="0"/>
    <n v="0"/>
    <n v="2020"/>
  </r>
  <r>
    <s v="83-1159078"/>
    <x v="29"/>
    <s v="William C. Winder"/>
    <x v="12"/>
    <n v="0"/>
    <n v="0"/>
    <n v="0"/>
    <n v="2019"/>
  </r>
  <r>
    <s v="83-1159078"/>
    <x v="29"/>
    <s v="Janet Winder Steed"/>
    <x v="2"/>
    <n v="0"/>
    <n v="0"/>
    <n v="0"/>
    <n v="2019"/>
  </r>
  <r>
    <s v="83-1159078"/>
    <x v="29"/>
    <s v="Edward A. Winder"/>
    <x v="7"/>
    <n v="0"/>
    <n v="0"/>
    <n v="0"/>
    <n v="2019"/>
  </r>
  <r>
    <s v="01-0777856"/>
    <x v="30"/>
    <s v="Hollis Pierce"/>
    <x v="0"/>
    <n v="127865"/>
    <n v="0"/>
    <n v="0"/>
    <n v="2023"/>
  </r>
  <r>
    <s v="01-0777856"/>
    <x v="30"/>
    <s v="Hollis Pierce"/>
    <x v="0"/>
    <n v="125009"/>
    <n v="0"/>
    <n v="0"/>
    <n v="2022"/>
  </r>
  <r>
    <s v="01-0777856"/>
    <x v="30"/>
    <s v="Patrick M Rump"/>
    <x v="0"/>
    <n v="96710"/>
    <n v="0"/>
    <n v="0"/>
    <n v="2021"/>
  </r>
  <r>
    <s v="01-0777856"/>
    <x v="30"/>
    <s v="Patrick M Rump"/>
    <x v="0"/>
    <n v="91124"/>
    <n v="0"/>
    <n v="0"/>
    <n v="2020"/>
  </r>
  <r>
    <s v="01-0777856"/>
    <x v="30"/>
    <s v="Patrick Rump"/>
    <x v="0"/>
    <n v="86039"/>
    <n v="0"/>
    <n v="0"/>
    <n v="2019"/>
  </r>
  <r>
    <s v="01-0777856"/>
    <x v="30"/>
    <s v="Patrick Rump"/>
    <x v="0"/>
    <n v="85372"/>
    <n v="0"/>
    <n v="0"/>
    <n v="2018"/>
  </r>
  <r>
    <s v="01-0777856"/>
    <x v="30"/>
    <s v="Patrick Rump"/>
    <x v="0"/>
    <n v="84033"/>
    <n v="0"/>
    <n v="0"/>
    <n v="2017"/>
  </r>
  <r>
    <s v="01-0777856"/>
    <x v="30"/>
    <s v="Patrick Rump"/>
    <x v="0"/>
    <n v="72834"/>
    <n v="0"/>
    <n v="0"/>
    <n v="2016"/>
  </r>
  <r>
    <s v="01-0777856"/>
    <x v="30"/>
    <s v="Patrick Rump"/>
    <x v="0"/>
    <n v="60828"/>
    <n v="0"/>
    <n v="0"/>
    <n v="2015"/>
  </r>
  <r>
    <s v="01-0777856"/>
    <x v="30"/>
    <s v="Patrick Rump"/>
    <x v="0"/>
    <n v="60713"/>
    <n v="0"/>
    <n v="0"/>
    <n v="2014"/>
  </r>
  <r>
    <s v="38-3891081"/>
    <x v="31"/>
    <s v="Louie Psihoyos"/>
    <x v="40"/>
    <n v="212654"/>
    <n v="0"/>
    <n v="20664"/>
    <n v="2023"/>
  </r>
  <r>
    <s v="38-3891081"/>
    <x v="31"/>
    <s v="Samara Stein"/>
    <x v="41"/>
    <n v="146369"/>
    <n v="74106"/>
    <n v="11795"/>
    <n v="2023"/>
  </r>
  <r>
    <s v="38-3891081"/>
    <x v="31"/>
    <s v="Matthew Stamm"/>
    <x v="42"/>
    <n v="28542"/>
    <n v="92608"/>
    <n v="18424"/>
    <n v="2023"/>
  </r>
  <r>
    <s v="38-3891081"/>
    <x v="31"/>
    <s v="Louie Psihoyos"/>
    <x v="40"/>
    <n v="225346"/>
    <n v="0"/>
    <n v="0"/>
    <n v="2022"/>
  </r>
  <r>
    <s v="38-3891081"/>
    <x v="31"/>
    <s v="Samara Stein"/>
    <x v="41"/>
    <n v="81292"/>
    <n v="108093"/>
    <n v="5681"/>
    <n v="2022"/>
  </r>
  <r>
    <s v="38-3891081"/>
    <x v="31"/>
    <s v="Matthew Stamm"/>
    <x v="42"/>
    <n v="18028"/>
    <n v="87895"/>
    <n v="3150"/>
    <n v="2022"/>
  </r>
  <r>
    <s v="38-3891081"/>
    <x v="31"/>
    <s v="Louie Psihoyos"/>
    <x v="40"/>
    <n v="47572"/>
    <n v="54236"/>
    <n v="21620"/>
    <n v="2021"/>
  </r>
  <r>
    <s v="38-3891081"/>
    <x v="31"/>
    <s v="Samara Stein"/>
    <x v="41"/>
    <n v="153349"/>
    <n v="39651"/>
    <n v="17715"/>
    <n v="2021"/>
  </r>
  <r>
    <s v="38-3891081"/>
    <x v="31"/>
    <s v="Matthew Stamm"/>
    <x v="42"/>
    <n v="27608"/>
    <n v="77892"/>
    <n v="3165"/>
    <n v="2021"/>
  </r>
  <r>
    <s v="38-3891081"/>
    <x v="31"/>
    <s v="Samara Stein"/>
    <x v="41"/>
    <n v="109597"/>
    <n v="57781"/>
    <n v="0"/>
    <n v="2020"/>
  </r>
  <r>
    <s v="38-3891081"/>
    <x v="31"/>
    <s v="Matthew Stamm"/>
    <x v="42"/>
    <n v="19028"/>
    <n v="85857"/>
    <n v="0"/>
    <n v="2020"/>
  </r>
  <r>
    <s v="38-3891081"/>
    <x v="31"/>
    <s v="Samara Stein"/>
    <x v="41"/>
    <n v="161466"/>
    <n v="0"/>
    <n v="3617"/>
    <n v="2019"/>
  </r>
  <r>
    <s v="38-3891081"/>
    <x v="31"/>
    <s v="Jenn Nolan"/>
    <x v="3"/>
    <n v="0"/>
    <n v="0"/>
    <n v="0"/>
    <n v="2019"/>
  </r>
  <r>
    <s v="38-3891081"/>
    <x v="31"/>
    <s v="Deb Adams"/>
    <x v="17"/>
    <n v="0"/>
    <n v="0"/>
    <n v="0"/>
    <n v="2019"/>
  </r>
  <r>
    <s v="38-3891081"/>
    <x v="31"/>
    <s v="Samara Stein"/>
    <x v="41"/>
    <n v="149741"/>
    <n v="0"/>
    <n v="0"/>
    <n v="2018"/>
  </r>
  <r>
    <s v="38-3891081"/>
    <x v="31"/>
    <s v="Jenn Nolan"/>
    <x v="3"/>
    <n v="0"/>
    <n v="0"/>
    <n v="0"/>
    <n v="2018"/>
  </r>
  <r>
    <s v="38-3891081"/>
    <x v="31"/>
    <s v="Deb Adams"/>
    <x v="17"/>
    <n v="0"/>
    <n v="0"/>
    <n v="0"/>
    <n v="2018"/>
  </r>
  <r>
    <s v="38-3891081"/>
    <x v="31"/>
    <s v="Louie Psihoyos"/>
    <x v="0"/>
    <n v="122778"/>
    <n v="0"/>
    <n v="0"/>
    <n v="2017"/>
  </r>
  <r>
    <s v="38-3891081"/>
    <x v="31"/>
    <s v="Samara Stein"/>
    <x v="41"/>
    <n v="149740"/>
    <n v="0"/>
    <n v="0"/>
    <n v="2017"/>
  </r>
  <r>
    <s v="38-3891081"/>
    <x v="31"/>
    <s v="Jenn Nolan"/>
    <x v="3"/>
    <n v="0"/>
    <n v="0"/>
    <n v="0"/>
    <n v="2017"/>
  </r>
  <r>
    <s v="94-2951488"/>
    <x v="32"/>
    <s v="Mark Welther"/>
    <x v="43"/>
    <n v="126000"/>
    <n v="0"/>
    <n v="3780"/>
    <n v="2023"/>
  </r>
  <r>
    <s v="94-2951488"/>
    <x v="32"/>
    <s v="John Arens"/>
    <x v="2"/>
    <n v="0"/>
    <n v="0"/>
    <n v="0"/>
    <n v="2023"/>
  </r>
  <r>
    <s v="94-2951488"/>
    <x v="32"/>
    <s v="Steven Woodside"/>
    <x v="7"/>
    <n v="0"/>
    <n v="0"/>
    <n v="0"/>
    <n v="2023"/>
  </r>
  <r>
    <s v="94-2951488"/>
    <x v="32"/>
    <s v="Mark Welther"/>
    <x v="43"/>
    <n v="113077"/>
    <n v="0"/>
    <n v="0"/>
    <n v="2022"/>
  </r>
  <r>
    <s v="94-2951488"/>
    <x v="32"/>
    <s v="John Arens"/>
    <x v="7"/>
    <n v="0"/>
    <n v="0"/>
    <n v="0"/>
    <n v="2022"/>
  </r>
  <r>
    <s v="94-2951488"/>
    <x v="32"/>
    <s v="Theresa Brandner"/>
    <x v="7"/>
    <n v="0"/>
    <n v="0"/>
    <n v="0"/>
    <n v="2022"/>
  </r>
  <r>
    <s v="94-2951488"/>
    <x v="32"/>
    <s v="Alan Olson"/>
    <x v="7"/>
    <n v="0"/>
    <n v="0"/>
    <n v="0"/>
    <n v="2021"/>
  </r>
  <r>
    <s v="94-2951488"/>
    <x v="32"/>
    <s v="Terry Causey"/>
    <x v="7"/>
    <n v="0"/>
    <n v="0"/>
    <n v="0"/>
    <n v="2021"/>
  </r>
  <r>
    <s v="94-2951488"/>
    <x v="32"/>
    <s v="Chris Gallagher"/>
    <x v="7"/>
    <n v="0"/>
    <n v="0"/>
    <n v="0"/>
    <n v="2021"/>
  </r>
  <r>
    <s v="94-2951488"/>
    <x v="32"/>
    <s v="Steven Woodside"/>
    <x v="11"/>
    <n v="14400"/>
    <n v="0"/>
    <n v="0"/>
    <n v="2020"/>
  </r>
  <r>
    <s v="94-2951488"/>
    <x v="32"/>
    <s v="David Anderson"/>
    <x v="44"/>
    <n v="12923"/>
    <n v="0"/>
    <n v="0"/>
    <n v="2020"/>
  </r>
  <r>
    <s v="94-2951488"/>
    <x v="32"/>
    <s v="Alan Olson"/>
    <x v="7"/>
    <n v="0"/>
    <n v="0"/>
    <n v="0"/>
    <n v="2020"/>
  </r>
  <r>
    <s v="94-2951488"/>
    <x v="32"/>
    <s v="Charles Hart"/>
    <x v="0"/>
    <n v="81325"/>
    <n v="0"/>
    <n v="0"/>
    <n v="2019"/>
  </r>
  <r>
    <s v="94-2951488"/>
    <x v="32"/>
    <s v="Stephen Gertz"/>
    <x v="45"/>
    <n v="31441"/>
    <n v="0"/>
    <n v="0"/>
    <n v="2019"/>
  </r>
  <r>
    <s v="94-2951488"/>
    <x v="32"/>
    <s v="Jim Simpson"/>
    <x v="2"/>
    <n v="0"/>
    <n v="0"/>
    <n v="0"/>
    <n v="2019"/>
  </r>
  <r>
    <s v="94-2951488"/>
    <x v="32"/>
    <s v="Steven Woodside"/>
    <x v="11"/>
    <n v="0"/>
    <n v="0"/>
    <n v="0"/>
    <n v="2018"/>
  </r>
  <r>
    <s v="94-2951488"/>
    <x v="32"/>
    <s v="Charles Hart"/>
    <x v="0"/>
    <n v="89362"/>
    <n v="0"/>
    <n v="0"/>
    <n v="2017"/>
  </r>
  <r>
    <s v="94-2951488"/>
    <x v="32"/>
    <s v="Jim Simpson"/>
    <x v="2"/>
    <n v="0"/>
    <n v="0"/>
    <n v="0"/>
    <n v="2017"/>
  </r>
  <r>
    <s v="94-2951488"/>
    <x v="32"/>
    <s v="Stephen Gertz"/>
    <x v="12"/>
    <n v="0"/>
    <n v="0"/>
    <n v="0"/>
    <n v="2017"/>
  </r>
  <r>
    <s v="94-2951488"/>
    <x v="32"/>
    <s v="Charles Hart"/>
    <x v="0"/>
    <n v="83980"/>
    <n v="0"/>
    <n v="0"/>
    <n v="2016"/>
  </r>
  <r>
    <s v="94-2951488"/>
    <x v="32"/>
    <s v="Stephen Gertz"/>
    <x v="12"/>
    <n v="0"/>
    <n v="0"/>
    <n v="0"/>
    <n v="2016"/>
  </r>
  <r>
    <s v="94-2951488"/>
    <x v="32"/>
    <s v="Alan Olson"/>
    <x v="46"/>
    <n v="0"/>
    <n v="0"/>
    <n v="0"/>
    <n v="2016"/>
  </r>
  <r>
    <s v="94-2951488"/>
    <x v="32"/>
    <s v="Charles Hart"/>
    <x v="0"/>
    <n v="80750"/>
    <n v="0"/>
    <n v="0"/>
    <n v="2015"/>
  </r>
  <r>
    <s v="94-2951488"/>
    <x v="32"/>
    <s v="Stephen Gertz"/>
    <x v="5"/>
    <n v="0"/>
    <n v="0"/>
    <n v="0"/>
    <n v="2015"/>
  </r>
  <r>
    <s v="94-2951488"/>
    <x v="32"/>
    <s v="Angela Lackey"/>
    <x v="7"/>
    <n v="0"/>
    <n v="0"/>
    <n v="0"/>
    <n v="2015"/>
  </r>
  <r>
    <s v="94-2788588"/>
    <x v="33"/>
    <s v="Chris Overington"/>
    <x v="0"/>
    <n v="67975"/>
    <n v="0"/>
    <n v="13313"/>
    <n v="2023"/>
  </r>
  <r>
    <s v="94-2788588"/>
    <x v="33"/>
    <s v="Lynne A Trulio"/>
    <x v="47"/>
    <n v="0"/>
    <n v="0"/>
    <n v="0"/>
    <n v="2023"/>
  </r>
  <r>
    <s v="94-2788588"/>
    <x v="33"/>
    <s v="Bruce Paton"/>
    <x v="47"/>
    <n v="0"/>
    <n v="0"/>
    <n v="0"/>
    <n v="2023"/>
  </r>
  <r>
    <s v="94-2788588"/>
    <x v="33"/>
    <s v="Chris Overington"/>
    <x v="0"/>
    <n v="57715"/>
    <n v="0"/>
    <n v="15165"/>
    <n v="2022"/>
  </r>
  <r>
    <s v="94-2788588"/>
    <x v="33"/>
    <s v="Yiwei Wang"/>
    <x v="0"/>
    <n v="8235"/>
    <n v="0"/>
    <n v="0"/>
    <n v="2022"/>
  </r>
  <r>
    <s v="94-2788588"/>
    <x v="33"/>
    <s v="Yiwei Wang"/>
    <x v="0"/>
    <n v="71039"/>
    <n v="0"/>
    <n v="0"/>
    <n v="2021"/>
  </r>
  <r>
    <s v="94-2788588"/>
    <x v="33"/>
    <s v="Chris Overington"/>
    <x v="0"/>
    <n v="11473"/>
    <n v="0"/>
    <n v="0"/>
    <n v="2021"/>
  </r>
  <r>
    <s v="94-2788588"/>
    <x v="33"/>
    <s v="Yiwei Wang"/>
    <x v="0"/>
    <n v="71981"/>
    <n v="0"/>
    <n v="0"/>
    <n v="2020"/>
  </r>
  <r>
    <s v="94-2788588"/>
    <x v="33"/>
    <s v="Yiwei Wang"/>
    <x v="0"/>
    <n v="68940"/>
    <n v="0"/>
    <n v="0"/>
    <n v="2019"/>
  </r>
  <r>
    <s v="94-2788588"/>
    <x v="33"/>
    <s v="Yiwei Wang"/>
    <x v="0"/>
    <n v="68850"/>
    <n v="0"/>
    <n v="0"/>
    <n v="2018"/>
  </r>
  <r>
    <s v="94-2788588"/>
    <x v="33"/>
    <s v="Yiwei Wang"/>
    <x v="0"/>
    <n v="41481"/>
    <n v="0"/>
    <n v="0"/>
    <n v="2017"/>
  </r>
  <r>
    <s v="94-2788588"/>
    <x v="33"/>
    <s v="Brian Fullfrost"/>
    <x v="7"/>
    <n v="12780"/>
    <n v="0"/>
    <n v="0"/>
    <n v="2017"/>
  </r>
  <r>
    <s v="94-2788588"/>
    <x v="33"/>
    <s v="Yiwei Wang"/>
    <x v="0"/>
    <n v="65000"/>
    <n v="0"/>
    <n v="0"/>
    <n v="2016"/>
  </r>
  <r>
    <s v="94-2788588"/>
    <x v="33"/>
    <s v="Lynne Trulio"/>
    <x v="7"/>
    <n v="1050"/>
    <n v="0"/>
    <n v="0"/>
    <n v="2016"/>
  </r>
  <r>
    <s v="94-2788588"/>
    <x v="33"/>
    <s v="Stephanie Ellis"/>
    <x v="35"/>
    <n v="37884"/>
    <n v="0"/>
    <n v="0"/>
    <n v="2015"/>
  </r>
  <r>
    <s v="94-2788588"/>
    <x v="33"/>
    <s v="Yiwei Wang"/>
    <x v="0"/>
    <n v="21174"/>
    <n v="0"/>
    <n v="0"/>
    <n v="2015"/>
  </r>
  <r>
    <s v="94-2788588"/>
    <x v="33"/>
    <s v="Catherine Burns"/>
    <x v="48"/>
    <n v="13494"/>
    <n v="0"/>
    <n v="0"/>
    <n v="2015"/>
  </r>
  <r>
    <s v="94-2788588"/>
    <x v="33"/>
    <s v="Yiwei Wang"/>
    <x v="0"/>
    <n v="65000"/>
    <n v="0"/>
    <n v="0"/>
    <n v="2014"/>
  </r>
  <r>
    <s v="94-2788588"/>
    <x v="33"/>
    <s v="Lynne Trulio"/>
    <x v="4"/>
    <n v="6188"/>
    <n v="0"/>
    <n v="0"/>
    <n v="2014"/>
  </r>
  <r>
    <s v="94-2788588"/>
    <x v="33"/>
    <s v="Yiwei Wang"/>
    <x v="0"/>
    <n v="68850"/>
    <n v="0"/>
    <n v="0"/>
    <n v="2013"/>
  </r>
  <r>
    <s v="94-2788588"/>
    <x v="33"/>
    <s v="Jan Hintermeister"/>
    <x v="3"/>
    <n v="0"/>
    <n v="0"/>
    <n v="0"/>
    <n v="2013"/>
  </r>
  <r>
    <s v="94-2788588"/>
    <x v="33"/>
    <s v="Lynne Trulio"/>
    <x v="15"/>
    <n v="0"/>
    <n v="0"/>
    <n v="0"/>
    <n v="2013"/>
  </r>
  <r>
    <s v="88-1650309"/>
    <x v="34"/>
    <s v="Dr. Cutcha Risling Baldy"/>
    <x v="13"/>
    <n v="0"/>
    <n v="0"/>
    <n v="0"/>
    <n v="2022"/>
  </r>
  <r>
    <s v="88-1650309"/>
    <x v="34"/>
    <s v="Morning Star Gali"/>
    <x v="17"/>
    <n v="0"/>
    <n v="0"/>
    <n v="0"/>
    <n v="2022"/>
  </r>
  <r>
    <s v="88-1650309"/>
    <x v="34"/>
    <s v="Brittani Orona"/>
    <x v="4"/>
    <n v="0"/>
    <n v="0"/>
    <n v="0"/>
    <n v="2022"/>
  </r>
  <r>
    <s v="88-1650309"/>
    <x v="34"/>
    <s v="Unknown"/>
    <x v="0"/>
    <n v="52195"/>
    <n v="0"/>
    <n v="0"/>
    <n v="2022"/>
  </r>
  <r>
    <s v="43-2050242"/>
    <x v="35"/>
    <s v="Bradley Angel"/>
    <x v="0"/>
    <n v="65000"/>
    <n v="0"/>
    <n v="0"/>
    <n v="2023"/>
  </r>
  <r>
    <s v="43-2050242"/>
    <x v="35"/>
    <s v="Alfredo Figueroa"/>
    <x v="1"/>
    <n v="0"/>
    <n v="0"/>
    <n v="0"/>
    <n v="2023"/>
  </r>
  <r>
    <s v="43-2050242"/>
    <x v="35"/>
    <s v="Teresa Johnson"/>
    <x v="2"/>
    <n v="0"/>
    <n v="0"/>
    <n v="0"/>
    <n v="2023"/>
  </r>
  <r>
    <s v="43-2050242"/>
    <x v="35"/>
    <s v="Bradley Angel"/>
    <x v="0"/>
    <n v="65000"/>
    <n v="0"/>
    <n v="0"/>
    <n v="2022"/>
  </r>
  <r>
    <s v="43-2050242"/>
    <x v="35"/>
    <s v="Zsea Bowmani"/>
    <x v="1"/>
    <n v="0"/>
    <n v="0"/>
    <n v="0"/>
    <n v="2022"/>
  </r>
  <r>
    <s v="43-2050242"/>
    <x v="35"/>
    <s v="Alfredo Figueroa"/>
    <x v="1"/>
    <n v="0"/>
    <n v="0"/>
    <n v="0"/>
    <n v="2022"/>
  </r>
  <r>
    <s v="43-2050242"/>
    <x v="35"/>
    <s v="Bradley Angel"/>
    <x v="0"/>
    <n v="65000"/>
    <n v="0"/>
    <n v="0"/>
    <n v="2021"/>
  </r>
  <r>
    <s v="43-2050242"/>
    <x v="35"/>
    <s v="Zsea Bowmani"/>
    <x v="1"/>
    <n v="0"/>
    <n v="0"/>
    <n v="0"/>
    <n v="2021"/>
  </r>
  <r>
    <s v="43-2050242"/>
    <x v="35"/>
    <s v="Alfredo Figueroa"/>
    <x v="1"/>
    <n v="0"/>
    <n v="0"/>
    <n v="0"/>
    <n v="2021"/>
  </r>
  <r>
    <s v="43-2050242"/>
    <x v="35"/>
    <s v="Bradley Angel"/>
    <x v="0"/>
    <n v="60000"/>
    <n v="0"/>
    <n v="0"/>
    <n v="2020"/>
  </r>
  <r>
    <s v="43-2050242"/>
    <x v="35"/>
    <s v="David Harper"/>
    <x v="1"/>
    <n v="0"/>
    <n v="0"/>
    <n v="0"/>
    <n v="2020"/>
  </r>
  <r>
    <s v="43-2050242"/>
    <x v="35"/>
    <s v="Teresa Johnson"/>
    <x v="1"/>
    <n v="0"/>
    <n v="0"/>
    <n v="0"/>
    <n v="2020"/>
  </r>
  <r>
    <s v="43-2050242"/>
    <x v="35"/>
    <s v="Bradley Angel"/>
    <x v="0"/>
    <n v="60000"/>
    <n v="0"/>
    <n v="0"/>
    <n v="2019"/>
  </r>
  <r>
    <s v="43-2050242"/>
    <x v="35"/>
    <s v="Lori Thomas Riddle"/>
    <x v="3"/>
    <n v="0"/>
    <n v="0"/>
    <n v="0"/>
    <n v="2019"/>
  </r>
  <r>
    <s v="43-2050242"/>
    <x v="35"/>
    <s v="John Mataka"/>
    <x v="49"/>
    <n v="0"/>
    <n v="0"/>
    <n v="0"/>
    <n v="2019"/>
  </r>
  <r>
    <s v="43-2050242"/>
    <x v="35"/>
    <s v="Bradley Angel"/>
    <x v="0"/>
    <n v="60000"/>
    <n v="0"/>
    <n v="0"/>
    <n v="2018"/>
  </r>
  <r>
    <s v="43-2050242"/>
    <x v="35"/>
    <s v="Lori Thomas Riddle"/>
    <x v="3"/>
    <n v="0"/>
    <n v="0"/>
    <n v="0"/>
    <n v="2018"/>
  </r>
  <r>
    <s v="43-2050242"/>
    <x v="35"/>
    <s v="John Mataka"/>
    <x v="49"/>
    <n v="0"/>
    <n v="0"/>
    <n v="0"/>
    <n v="2018"/>
  </r>
  <r>
    <s v="43-2050242"/>
    <x v="35"/>
    <s v="Bradley Angel"/>
    <x v="0"/>
    <n v="60000"/>
    <n v="0"/>
    <n v="0"/>
    <n v="2017"/>
  </r>
  <r>
    <s v="43-2050242"/>
    <x v="35"/>
    <s v="Annie Loya"/>
    <x v="39"/>
    <n v="0"/>
    <n v="0"/>
    <n v="0"/>
    <n v="2017"/>
  </r>
  <r>
    <s v="43-2050242"/>
    <x v="35"/>
    <s v="Lori Thomas Riddle"/>
    <x v="39"/>
    <n v="0"/>
    <n v="0"/>
    <n v="0"/>
    <n v="2017"/>
  </r>
  <r>
    <s v="43-2050242"/>
    <x v="35"/>
    <s v="Bradley Angel"/>
    <x v="0"/>
    <n v="60000"/>
    <n v="0"/>
    <n v="0"/>
    <n v="2016"/>
  </r>
  <r>
    <s v="43-2050242"/>
    <x v="35"/>
    <s v="Annie Loya"/>
    <x v="39"/>
    <n v="0"/>
    <n v="0"/>
    <n v="0"/>
    <n v="2016"/>
  </r>
  <r>
    <s v="43-2050242"/>
    <x v="35"/>
    <s v="Lori Thomas Riddle"/>
    <x v="39"/>
    <n v="0"/>
    <n v="0"/>
    <n v="0"/>
    <n v="2016"/>
  </r>
  <r>
    <s v="43-2050242"/>
    <x v="35"/>
    <s v="Bradley Angel"/>
    <x v="0"/>
    <n v="60000"/>
    <n v="0"/>
    <n v="0"/>
    <n v="2015"/>
  </r>
  <r>
    <s v="43-2050242"/>
    <x v="35"/>
    <s v="Annie Loya"/>
    <x v="39"/>
    <n v="0"/>
    <n v="0"/>
    <n v="0"/>
    <n v="2015"/>
  </r>
  <r>
    <s v="43-2050242"/>
    <x v="35"/>
    <s v="Lori Thomas Riddle"/>
    <x v="39"/>
    <n v="0"/>
    <n v="0"/>
    <n v="0"/>
    <n v="2015"/>
  </r>
  <r>
    <s v="30-0358349"/>
    <x v="36"/>
    <s v="Pierre Fidenci"/>
    <x v="5"/>
    <n v="0"/>
    <n v="0"/>
    <n v="0"/>
    <n v="2023"/>
  </r>
  <r>
    <s v="30-0358349"/>
    <x v="36"/>
    <s v="Chris Giorni"/>
    <x v="2"/>
    <n v="0"/>
    <n v="0"/>
    <n v="0"/>
    <n v="2023"/>
  </r>
  <r>
    <s v="30-0358349"/>
    <x v="36"/>
    <s v="Andreas Rytz"/>
    <x v="50"/>
    <n v="0"/>
    <n v="0"/>
    <n v="0"/>
    <n v="2023"/>
  </r>
  <r>
    <s v="30-0358349"/>
    <x v="36"/>
    <s v="Pierre Fidenci"/>
    <x v="51"/>
    <n v="0"/>
    <n v="0"/>
    <n v="0"/>
    <n v="2022"/>
  </r>
  <r>
    <s v="30-0358349"/>
    <x v="36"/>
    <s v="Chris Giorni"/>
    <x v="2"/>
    <n v="0"/>
    <n v="0"/>
    <n v="0"/>
    <n v="2022"/>
  </r>
  <r>
    <s v="30-0358349"/>
    <x v="36"/>
    <s v="Tony Iwane"/>
    <x v="4"/>
    <n v="0"/>
    <n v="0"/>
    <n v="0"/>
    <n v="2022"/>
  </r>
  <r>
    <s v="30-0358349"/>
    <x v="36"/>
    <s v="Pierre Fidenci"/>
    <x v="51"/>
    <n v="0"/>
    <n v="0"/>
    <n v="0"/>
    <n v="2021"/>
  </r>
  <r>
    <s v="30-0358349"/>
    <x v="36"/>
    <s v="Andreas Rytz"/>
    <x v="52"/>
    <n v="0"/>
    <n v="0"/>
    <n v="0"/>
    <n v="2021"/>
  </r>
  <r>
    <s v="30-0358349"/>
    <x v="36"/>
    <s v="Tony Iwane"/>
    <x v="4"/>
    <n v="0"/>
    <n v="0"/>
    <n v="0"/>
    <n v="2021"/>
  </r>
  <r>
    <s v="30-0358349"/>
    <x v="36"/>
    <s v="Pierre Fidenci"/>
    <x v="51"/>
    <n v="0"/>
    <n v="0"/>
    <n v="0"/>
    <n v="2020"/>
  </r>
  <r>
    <s v="30-0358349"/>
    <x v="36"/>
    <s v="Andreas Rytz"/>
    <x v="52"/>
    <n v="0"/>
    <n v="0"/>
    <n v="0"/>
    <n v="2020"/>
  </r>
  <r>
    <s v="30-0358349"/>
    <x v="36"/>
    <s v="Tony Iwane"/>
    <x v="4"/>
    <n v="0"/>
    <n v="0"/>
    <n v="0"/>
    <n v="2020"/>
  </r>
  <r>
    <s v="30-0358349"/>
    <x v="36"/>
    <s v="Pierre Fidenci"/>
    <x v="51"/>
    <n v="0"/>
    <n v="0"/>
    <n v="0"/>
    <n v="2019"/>
  </r>
  <r>
    <s v="30-0358349"/>
    <x v="36"/>
    <s v="Andreas Rytz"/>
    <x v="52"/>
    <n v="0"/>
    <n v="0"/>
    <n v="0"/>
    <n v="2019"/>
  </r>
  <r>
    <s v="30-0358349"/>
    <x v="36"/>
    <s v="Tony Iwane"/>
    <x v="4"/>
    <n v="0"/>
    <n v="0"/>
    <n v="0"/>
    <n v="2019"/>
  </r>
  <r>
    <s v="30-0358349"/>
    <x v="36"/>
    <s v="Pierre Fidenci"/>
    <x v="51"/>
    <n v="0"/>
    <n v="0"/>
    <n v="0"/>
    <n v="2018"/>
  </r>
  <r>
    <s v="30-0358349"/>
    <x v="36"/>
    <s v="Andreas Rytz"/>
    <x v="52"/>
    <n v="0"/>
    <n v="0"/>
    <n v="0"/>
    <n v="2018"/>
  </r>
  <r>
    <s v="30-0358349"/>
    <x v="36"/>
    <s v="Tony Iwane"/>
    <x v="4"/>
    <n v="0"/>
    <n v="0"/>
    <n v="0"/>
    <n v="2018"/>
  </r>
  <r>
    <s v="30-0358349"/>
    <x v="36"/>
    <s v="Pierre Fidenci"/>
    <x v="51"/>
    <n v="0"/>
    <n v="0"/>
    <n v="0"/>
    <n v="2017"/>
  </r>
  <r>
    <s v="30-0358349"/>
    <x v="36"/>
    <s v="Andreas Rytz"/>
    <x v="52"/>
    <n v="0"/>
    <n v="0"/>
    <n v="0"/>
    <n v="2017"/>
  </r>
  <r>
    <s v="30-0358349"/>
    <x v="36"/>
    <s v="Tony Iwane"/>
    <x v="4"/>
    <n v="0"/>
    <n v="0"/>
    <n v="0"/>
    <n v="2017"/>
  </r>
  <r>
    <s v="46-5112972"/>
    <x v="37"/>
    <s v="Dr. Erika Woolsey Peterson"/>
    <x v="43"/>
    <n v="110000"/>
    <n v="0"/>
    <n v="0"/>
    <n v="2023"/>
  </r>
  <r>
    <s v="46-5112972"/>
    <x v="37"/>
    <s v="Andrea Celeste Contreras"/>
    <x v="2"/>
    <n v="2700"/>
    <n v="0"/>
    <n v="0"/>
    <n v="2023"/>
  </r>
  <r>
    <s v="46-5112972"/>
    <x v="37"/>
    <s v="Kristina Woolsey"/>
    <x v="3"/>
    <n v="0"/>
    <n v="0"/>
    <n v="0"/>
    <n v="2023"/>
  </r>
  <r>
    <s v="46-5112972"/>
    <x v="37"/>
    <s v="Dr. Erika Woolsey Peterson"/>
    <x v="43"/>
    <n v="147342"/>
    <n v="0"/>
    <n v="0"/>
    <n v="2022"/>
  </r>
  <r>
    <s v="46-5112972"/>
    <x v="37"/>
    <s v="Andrea Celeste Contreras"/>
    <x v="2"/>
    <n v="2700"/>
    <n v="0"/>
    <n v="0"/>
    <n v="2022"/>
  </r>
  <r>
    <s v="46-5112972"/>
    <x v="37"/>
    <s v="Kristina Woolsey"/>
    <x v="3"/>
    <n v="0"/>
    <n v="0"/>
    <n v="0"/>
    <n v="2022"/>
  </r>
  <r>
    <s v="46-5112972"/>
    <x v="37"/>
    <s v="Erika Woolsey"/>
    <x v="11"/>
    <n v="74716"/>
    <n v="0"/>
    <n v="0"/>
    <n v="2021"/>
  </r>
  <r>
    <s v="46-5112972"/>
    <x v="37"/>
    <s v="Kristina Woolsey"/>
    <x v="3"/>
    <n v="0"/>
    <n v="0"/>
    <n v="0"/>
    <n v="2021"/>
  </r>
  <r>
    <s v="46-5112972"/>
    <x v="37"/>
    <s v="Andrea C. Balbuena"/>
    <x v="2"/>
    <n v="0"/>
    <n v="0"/>
    <n v="0"/>
    <n v="2021"/>
  </r>
  <r>
    <s v="46-5112972"/>
    <x v="37"/>
    <s v="Kristina Woolsey"/>
    <x v="3"/>
    <n v="0"/>
    <n v="0"/>
    <n v="0"/>
    <n v="2020"/>
  </r>
  <r>
    <s v="46-5112972"/>
    <x v="37"/>
    <s v="Wesley Della Volla"/>
    <x v="1"/>
    <n v="0"/>
    <n v="0"/>
    <n v="0"/>
    <n v="2020"/>
  </r>
  <r>
    <s v="46-5112972"/>
    <x v="37"/>
    <s v="Kris Severson"/>
    <x v="1"/>
    <n v="0"/>
    <n v="0"/>
    <n v="0"/>
    <n v="2020"/>
  </r>
  <r>
    <s v="46-5112972"/>
    <x v="37"/>
    <s v="Kristina Woolsey"/>
    <x v="3"/>
    <n v="0"/>
    <n v="0"/>
    <n v="0"/>
    <n v="2019"/>
  </r>
  <r>
    <s v="46-5112972"/>
    <x v="37"/>
    <s v="Erika Woolsley Langbein"/>
    <x v="43"/>
    <n v="0"/>
    <n v="0"/>
    <n v="0"/>
    <n v="2019"/>
  </r>
  <r>
    <s v="46-5112972"/>
    <x v="37"/>
    <s v="Pete Niesen"/>
    <x v="4"/>
    <n v="0"/>
    <n v="0"/>
    <n v="0"/>
    <n v="2019"/>
  </r>
  <r>
    <s v="46-5112972"/>
    <x v="37"/>
    <s v="Kristina Woolsey"/>
    <x v="3"/>
    <n v="0"/>
    <n v="0"/>
    <n v="0"/>
    <n v="2018"/>
  </r>
  <r>
    <s v="46-5112972"/>
    <x v="37"/>
    <s v="Erika Woolsley Langbein"/>
    <x v="43"/>
    <n v="40387"/>
    <n v="0"/>
    <n v="0"/>
    <n v="2018"/>
  </r>
  <r>
    <s v="46-5112972"/>
    <x v="37"/>
    <s v="Pete Niesen"/>
    <x v="4"/>
    <n v="0"/>
    <n v="0"/>
    <n v="0"/>
    <n v="2018"/>
  </r>
  <r>
    <s v="46-5112972"/>
    <x v="37"/>
    <s v="Erika Woolsley"/>
    <x v="43"/>
    <n v="45915"/>
    <n v="0"/>
    <n v="0"/>
    <n v="2017"/>
  </r>
  <r>
    <s v="46-5112972"/>
    <x v="37"/>
    <s v="Nora Hall"/>
    <x v="53"/>
    <n v="44731"/>
    <n v="0"/>
    <n v="0"/>
    <n v="2017"/>
  </r>
  <r>
    <s v="46-5112972"/>
    <x v="37"/>
    <s v="Sylvester Lee"/>
    <x v="6"/>
    <n v="0"/>
    <n v="0"/>
    <n v="0"/>
    <n v="2017"/>
  </r>
  <r>
    <s v="46-5112972"/>
    <x v="37"/>
    <s v="Nora Hall"/>
    <x v="53"/>
    <n v="0"/>
    <n v="0"/>
    <n v="0"/>
    <n v="2016"/>
  </r>
  <r>
    <s v="46-5112972"/>
    <x v="37"/>
    <s v="Erika Woolsley"/>
    <x v="43"/>
    <n v="24231"/>
    <n v="0"/>
    <n v="0"/>
    <n v="2016"/>
  </r>
  <r>
    <s v="46-5112972"/>
    <x v="37"/>
    <s v="Sylvester Lee"/>
    <x v="6"/>
    <n v="17021"/>
    <n v="0"/>
    <n v="0"/>
    <n v="2016"/>
  </r>
  <r>
    <s v="46-5112972"/>
    <x v="37"/>
    <s v="Nora Hall"/>
    <x v="53"/>
    <n v="0"/>
    <n v="0"/>
    <n v="0"/>
    <n v="2015"/>
  </r>
  <r>
    <s v="46-5112972"/>
    <x v="37"/>
    <s v="Erika Woolsley"/>
    <x v="43"/>
    <n v="0"/>
    <n v="0"/>
    <n v="0"/>
    <n v="2015"/>
  </r>
  <r>
    <s v="46-5112972"/>
    <x v="37"/>
    <s v="Sylvester Lee"/>
    <x v="1"/>
    <n v="0"/>
    <n v="0"/>
    <n v="0"/>
    <n v="2015"/>
  </r>
  <r>
    <s v="46-5112972"/>
    <x v="37"/>
    <s v="Nora Hall"/>
    <x v="53"/>
    <n v="0"/>
    <n v="0"/>
    <n v="0"/>
    <n v="2014"/>
  </r>
  <r>
    <s v="46-5112972"/>
    <x v="37"/>
    <s v="Erika Woolsley"/>
    <x v="43"/>
    <n v="0"/>
    <n v="0"/>
    <n v="0"/>
    <n v="2014"/>
  </r>
  <r>
    <s v="46-5112972"/>
    <x v="37"/>
    <s v="Sylvester Lee"/>
    <x v="1"/>
    <n v="0"/>
    <n v="0"/>
    <n v="0"/>
    <n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91-1767292"/>
    <x v="0"/>
    <s v="Richmond"/>
    <s v="CA"/>
    <x v="0"/>
    <n v="459662"/>
    <n v="370547"/>
    <n v="830209"/>
    <n v="0.55000000000000004"/>
    <n v="91698"/>
    <n v="451558"/>
    <n v="813807"/>
    <n v="318247"/>
    <n v="970492"/>
    <n v="1169744"/>
  </r>
  <r>
    <s v="91-1767292"/>
    <x v="0"/>
    <s v="Richmond"/>
    <s v="CA"/>
    <x v="1"/>
    <n v="382453"/>
    <n v="132297"/>
    <n v="514750"/>
    <n v="0.74"/>
    <n v="0"/>
    <n v="402741"/>
    <n v="656805"/>
    <n v="259099"/>
    <n v="970492"/>
    <n v="1169744"/>
  </r>
  <r>
    <s v="91-1767292"/>
    <x v="0"/>
    <s v="Richmond"/>
    <s v="CA"/>
    <x v="2"/>
    <n v="442842"/>
    <n v="205389"/>
    <n v="648231"/>
    <n v="0.68"/>
    <n v="86154"/>
    <n v="296667"/>
    <n v="716454"/>
    <n v="240770"/>
    <n v="970492"/>
    <n v="1169744"/>
  </r>
  <r>
    <s v="91-1767292"/>
    <x v="0"/>
    <s v="Richmond"/>
    <s v="CA"/>
    <x v="3"/>
    <n v="412455"/>
    <n v="360262"/>
    <n v="772717"/>
    <n v="0.53"/>
    <n v="84462"/>
    <n v="297074"/>
    <n v="824310"/>
    <n v="257007"/>
    <n v="970492"/>
    <n v="1169744"/>
  </r>
  <r>
    <s v="33-0647946"/>
    <x v="1"/>
    <s v="San Diego"/>
    <s v="CA"/>
    <x v="1"/>
    <n v="1128928"/>
    <n v="4302"/>
    <n v="1128832"/>
    <n v="1"/>
    <n v="155000"/>
    <n v="447050"/>
    <n v="841936"/>
    <n v="1609104"/>
    <n v="959203"/>
    <n v="2363056"/>
  </r>
  <r>
    <s v="33-0647946"/>
    <x v="1"/>
    <s v="San Diego"/>
    <s v="CA"/>
    <x v="2"/>
    <n v="764516"/>
    <n v="3418"/>
    <n v="760562"/>
    <n v="1.01"/>
    <n v="140798"/>
    <n v="333582"/>
    <n v="671655"/>
    <n v="1322208"/>
    <n v="959203"/>
    <n v="2363056"/>
  </r>
  <r>
    <s v="33-0647946"/>
    <x v="1"/>
    <s v="San Diego"/>
    <s v="CA"/>
    <x v="3"/>
    <n v="1004514"/>
    <n v="2631"/>
    <n v="1060137"/>
    <n v="0.95"/>
    <n v="115000"/>
    <n v="281202"/>
    <n v="643719"/>
    <n v="1233301"/>
    <n v="959203"/>
    <n v="2363056"/>
  </r>
  <r>
    <s v="84-4780735"/>
    <x v="2"/>
    <s v="Kentfield"/>
    <s v="CA"/>
    <x v="0"/>
    <n v="197517"/>
    <n v="4598"/>
    <n v="197770"/>
    <n v="1"/>
    <n v="37649"/>
    <n v="40214"/>
    <n v="143277"/>
    <n v="110252"/>
    <n v="807187"/>
    <n v="380266"/>
  </r>
  <r>
    <s v="84-4780735"/>
    <x v="2"/>
    <s v="Kentfield"/>
    <s v="CA"/>
    <x v="1"/>
    <n v="0"/>
    <n v="0"/>
    <n v="143799"/>
    <n v="0"/>
    <n v="0"/>
    <n v="0"/>
    <n v="88140"/>
    <n v="0"/>
    <n v="807187"/>
    <n v="380266"/>
  </r>
  <r>
    <s v="45-4329874"/>
    <x v="3"/>
    <s v="Costa Mesa"/>
    <s v="CA"/>
    <x v="0"/>
    <n v="1063718"/>
    <n v="26"/>
    <n v="1099353"/>
    <n v="0.97"/>
    <n v="0"/>
    <n v="0"/>
    <n v="225996"/>
    <n v="2431795"/>
    <n v="623680"/>
    <n v="603117"/>
  </r>
  <r>
    <s v="45-4329874"/>
    <x v="3"/>
    <s v="Costa Mesa"/>
    <s v="CA"/>
    <x v="1"/>
    <n v="439858"/>
    <n v="16"/>
    <n v="450015"/>
    <n v="0.98"/>
    <n v="0"/>
    <n v="0"/>
    <n v="127188"/>
    <n v="1150278"/>
    <n v="623680"/>
    <n v="603117"/>
  </r>
  <r>
    <s v="45-4329874"/>
    <x v="3"/>
    <s v="Costa Mesa"/>
    <s v="CA"/>
    <x v="2"/>
    <n v="91324"/>
    <n v="29"/>
    <n v="106938"/>
    <n v="0.85"/>
    <n v="0"/>
    <n v="0"/>
    <n v="52913"/>
    <n v="827451"/>
    <n v="623680"/>
    <n v="603117"/>
  </r>
  <r>
    <s v="45-4329874"/>
    <x v="3"/>
    <s v="Costa Mesa"/>
    <s v="CA"/>
    <x v="3"/>
    <n v="378953"/>
    <n v="61"/>
    <n v="416026"/>
    <n v="0.91"/>
    <n v="0"/>
    <n v="0"/>
    <n v="121163"/>
    <n v="773426"/>
    <n v="623680"/>
    <n v="603117"/>
  </r>
  <r>
    <s v="83-3305529"/>
    <x v="4"/>
    <s v="South San Francisco"/>
    <s v="CA"/>
    <x v="0"/>
    <n v="16725"/>
    <n v="238143"/>
    <n v="254868"/>
    <n v="7.0000000000000007E-2"/>
    <n v="40290"/>
    <n v="63001"/>
    <n v="247402"/>
    <n v="6332"/>
    <n v="611638"/>
    <n v="94462"/>
  </r>
  <r>
    <s v="83-3305529"/>
    <x v="4"/>
    <s v="South San Francisco"/>
    <s v="CA"/>
    <x v="1"/>
    <n v="0"/>
    <n v="0"/>
    <n v="84657"/>
    <n v="0"/>
    <n v="0"/>
    <n v="0"/>
    <n v="105652"/>
    <n v="0"/>
    <n v="611638"/>
    <n v="94462"/>
  </r>
  <r>
    <s v="83-3305529"/>
    <x v="4"/>
    <s v="South San Francisco"/>
    <s v="CA"/>
    <x v="2"/>
    <n v="0"/>
    <n v="0"/>
    <n v="159512"/>
    <n v="0"/>
    <n v="0"/>
    <n v="0"/>
    <n v="140563"/>
    <n v="0"/>
    <n v="611638"/>
    <n v="94462"/>
  </r>
  <r>
    <s v="33-0587567"/>
    <x v="5"/>
    <s v="San Diego"/>
    <s v="CA"/>
    <x v="0"/>
    <n v="51545"/>
    <n v="436673"/>
    <n v="492123"/>
    <n v="0.1"/>
    <n v="0"/>
    <n v="152768"/>
    <n v="429865"/>
    <n v="313327"/>
    <n v="610308"/>
    <n v="264317"/>
  </r>
  <r>
    <s v="33-0587567"/>
    <x v="5"/>
    <s v="San Diego"/>
    <s v="CA"/>
    <x v="1"/>
    <n v="54696"/>
    <n v="369692"/>
    <n v="430438"/>
    <n v="0.13"/>
    <n v="0"/>
    <n v="147645"/>
    <n v="401625"/>
    <n v="251069"/>
    <n v="610308"/>
    <n v="264317"/>
  </r>
  <r>
    <s v="33-0587567"/>
    <x v="5"/>
    <s v="San Diego"/>
    <s v="CA"/>
    <x v="2"/>
    <n v="28991"/>
    <n v="482562"/>
    <n v="518153"/>
    <n v="0.06"/>
    <n v="0"/>
    <n v="139422"/>
    <n v="552805"/>
    <n v="222256"/>
    <n v="610308"/>
    <n v="264317"/>
  </r>
  <r>
    <s v="33-0587567"/>
    <x v="5"/>
    <s v="San Diego"/>
    <s v="CA"/>
    <x v="3"/>
    <n v="34465"/>
    <n v="621724"/>
    <n v="661689"/>
    <n v="0.05"/>
    <n v="0"/>
    <n v="121615"/>
    <n v="637810"/>
    <n v="256908"/>
    <n v="610308"/>
    <n v="264317"/>
  </r>
  <r>
    <s v="94-2745941"/>
    <x v="6"/>
    <s v="Santa Cruz"/>
    <s v="CA"/>
    <x v="0"/>
    <n v="449793"/>
    <n v="117465"/>
    <n v="565104"/>
    <n v="0.8"/>
    <n v="111538"/>
    <n v="203147"/>
    <n v="460770"/>
    <n v="368858"/>
    <n v="552280"/>
    <n v="350356"/>
  </r>
  <r>
    <s v="94-2745941"/>
    <x v="6"/>
    <s v="Santa Cruz"/>
    <s v="CA"/>
    <x v="1"/>
    <n v="501331"/>
    <n v="57122"/>
    <n v="558453"/>
    <n v="0.9"/>
    <n v="115534"/>
    <n v="175926"/>
    <n v="507769"/>
    <n v="274602"/>
    <n v="552280"/>
    <n v="350356"/>
  </r>
  <r>
    <s v="94-2745941"/>
    <x v="6"/>
    <s v="Santa Cruz"/>
    <s v="CA"/>
    <x v="2"/>
    <n v="371488"/>
    <n v="74300"/>
    <n v="445788"/>
    <n v="0.83"/>
    <n v="122566"/>
    <n v="121971"/>
    <n v="456266"/>
    <n v="214688"/>
    <n v="552280"/>
    <n v="350356"/>
  </r>
  <r>
    <s v="94-2745941"/>
    <x v="6"/>
    <s v="Santa Cruz"/>
    <s v="CA"/>
    <x v="3"/>
    <n v="436928"/>
    <n v="98458"/>
    <n v="534101"/>
    <n v="0.82"/>
    <n v="104508"/>
    <n v="218841"/>
    <n v="576229"/>
    <n v="219068"/>
    <n v="552280"/>
    <n v="350356"/>
  </r>
  <r>
    <s v="33-0145660"/>
    <x v="7"/>
    <s v="Huntington Beach"/>
    <s v="CA"/>
    <x v="0"/>
    <n v="379601"/>
    <n v="37121"/>
    <n v="452975"/>
    <n v="0.84"/>
    <n v="0"/>
    <n v="96400"/>
    <n v="559386"/>
    <n v="9093779"/>
    <n v="523158"/>
    <n v="9122010"/>
  </r>
  <r>
    <s v="33-0145660"/>
    <x v="7"/>
    <s v="Huntington Beach"/>
    <s v="CA"/>
    <x v="1"/>
    <n v="2972399"/>
    <n v="27715"/>
    <n v="3032805"/>
    <n v="0.98"/>
    <n v="0"/>
    <n v="77600"/>
    <n v="631850"/>
    <n v="9277470"/>
    <n v="523158"/>
    <n v="9122010"/>
  </r>
  <r>
    <s v="33-0145660"/>
    <x v="7"/>
    <s v="Huntington Beach"/>
    <s v="CA"/>
    <x v="2"/>
    <n v="389185"/>
    <n v="41095"/>
    <n v="468401"/>
    <n v="0.83"/>
    <n v="20000"/>
    <n v="75024"/>
    <n v="541675"/>
    <n v="6885973"/>
    <n v="523158"/>
    <n v="9122010"/>
  </r>
  <r>
    <s v="33-0145660"/>
    <x v="7"/>
    <s v="Huntington Beach"/>
    <s v="CA"/>
    <x v="3"/>
    <n v="395211"/>
    <n v="44303"/>
    <n v="477795"/>
    <n v="0.83"/>
    <n v="17000"/>
    <n v="65520"/>
    <n v="381088"/>
    <n v="6957810"/>
    <n v="523158"/>
    <n v="9122010"/>
  </r>
  <r>
    <s v="94-2665367"/>
    <x v="8"/>
    <s v="Sausalito"/>
    <s v="CA"/>
    <x v="0"/>
    <n v="770552"/>
    <n v="115"/>
    <n v="770667"/>
    <n v="1"/>
    <n v="0"/>
    <n v="0"/>
    <n v="483329"/>
    <n v="3383373"/>
    <n v="478925"/>
    <n v="3870703"/>
  </r>
  <r>
    <s v="94-2665367"/>
    <x v="8"/>
    <s v="Sausalito"/>
    <s v="CA"/>
    <x v="1"/>
    <n v="2118551"/>
    <n v="110"/>
    <n v="2118446"/>
    <n v="1"/>
    <n v="0"/>
    <n v="0"/>
    <n v="405017"/>
    <n v="3394149"/>
    <n v="478925"/>
    <n v="3870703"/>
  </r>
  <r>
    <s v="94-2665367"/>
    <x v="8"/>
    <s v="Sausalito"/>
    <s v="CA"/>
    <x v="2"/>
    <n v="538696"/>
    <n v="139"/>
    <n v="538418"/>
    <n v="1"/>
    <n v="0"/>
    <n v="0"/>
    <n v="298419"/>
    <n v="1680720"/>
    <n v="478925"/>
    <n v="3870703"/>
  </r>
  <r>
    <s v="94-2665367"/>
    <x v="8"/>
    <s v="Sausalito"/>
    <s v="CA"/>
    <x v="3"/>
    <n v="459565"/>
    <n v="114"/>
    <n v="459679"/>
    <n v="1"/>
    <n v="0"/>
    <n v="0"/>
    <n v="331292"/>
    <n v="1440721"/>
    <n v="478925"/>
    <n v="3870703"/>
  </r>
  <r>
    <s v="20-1832617"/>
    <x v="9"/>
    <s v="Pine Mountain Club"/>
    <s v="CA"/>
    <x v="0"/>
    <n v="197198"/>
    <n v="426716"/>
    <n v="622914"/>
    <n v="0.32"/>
    <n v="100800"/>
    <n v="145374"/>
    <n v="533596"/>
    <n v="-26198"/>
    <n v="445782"/>
    <n v="69748"/>
  </r>
  <r>
    <s v="20-1832617"/>
    <x v="9"/>
    <s v="Pine Mountain Club"/>
    <s v="CA"/>
    <x v="1"/>
    <n v="267345"/>
    <n v="59803"/>
    <n v="327148"/>
    <n v="0.82"/>
    <n v="0"/>
    <n v="253104"/>
    <n v="398244"/>
    <n v="-115516"/>
    <n v="445782"/>
    <n v="69748"/>
  </r>
  <r>
    <s v="20-1832617"/>
    <x v="9"/>
    <s v="Pine Mountain Club"/>
    <s v="CA"/>
    <x v="2"/>
    <n v="68969"/>
    <n v="84488"/>
    <n v="436790"/>
    <n v="0.16"/>
    <n v="57200"/>
    <n v="217469"/>
    <n v="497633"/>
    <n v="-44420"/>
    <n v="445782"/>
    <n v="69748"/>
  </r>
  <r>
    <s v="20-1832617"/>
    <x v="9"/>
    <s v="Pine Mountain Club"/>
    <s v="CA"/>
    <x v="3"/>
    <n v="102163"/>
    <n v="403055"/>
    <n v="505242"/>
    <n v="0.2"/>
    <n v="53018"/>
    <n v="145522"/>
    <n v="563945"/>
    <n v="16423"/>
    <n v="445782"/>
    <n v="69748"/>
  </r>
  <r>
    <s v="47-5161428"/>
    <x v="10"/>
    <s v="Santa Monica"/>
    <s v="CA"/>
    <x v="0"/>
    <n v="135164"/>
    <n v="0"/>
    <n v="135164"/>
    <n v="1"/>
    <n v="0"/>
    <n v="60129"/>
    <n v="336476"/>
    <n v="532387"/>
    <n v="299372"/>
    <n v="550788"/>
  </r>
  <r>
    <s v="47-5161428"/>
    <x v="10"/>
    <s v="Santa Monica"/>
    <s v="CA"/>
    <x v="1"/>
    <n v="1675014"/>
    <n v="0"/>
    <n v="1675014"/>
    <n v="1"/>
    <n v="0"/>
    <n v="55095"/>
    <n v="332572"/>
    <n v="733699"/>
    <n v="299372"/>
    <n v="550788"/>
  </r>
  <r>
    <s v="47-5161428"/>
    <x v="10"/>
    <s v="Santa Monica"/>
    <s v="CA"/>
    <x v="2"/>
    <n v="153092"/>
    <n v="0"/>
    <n v="153092"/>
    <n v="1"/>
    <n v="0"/>
    <n v="44013"/>
    <n v="54942"/>
    <n v="-608743"/>
    <n v="299372"/>
    <n v="550788"/>
  </r>
  <r>
    <s v="47-5161428"/>
    <x v="10"/>
    <s v="Santa Monica"/>
    <s v="CA"/>
    <x v="3"/>
    <n v="139476"/>
    <n v="0"/>
    <n v="139476"/>
    <n v="1"/>
    <n v="0"/>
    <n v="0"/>
    <n v="43092"/>
    <n v="-706460"/>
    <n v="299372"/>
    <n v="550788"/>
  </r>
  <r>
    <s v="94-2216915"/>
    <x v="11"/>
    <s v="South Lake Tahoe"/>
    <s v="CA"/>
    <x v="0"/>
    <n v="272581"/>
    <n v="21923"/>
    <n v="294504"/>
    <n v="0.93"/>
    <n v="0"/>
    <n v="0"/>
    <n v="557891"/>
    <n v="1873840"/>
    <n v="294504"/>
    <n v="2383983"/>
  </r>
  <r>
    <s v="94-2216915"/>
    <x v="11"/>
    <s v="South Lake Tahoe"/>
    <s v="CA"/>
    <x v="1"/>
    <n v="91000"/>
    <n v="18600"/>
    <n v="109600"/>
    <n v="0.83"/>
    <n v="9517"/>
    <n v="0"/>
    <n v="348469"/>
    <n v="1898678"/>
    <n v="294504"/>
    <n v="2383983"/>
  </r>
  <r>
    <s v="94-2216915"/>
    <x v="11"/>
    <s v="South Lake Tahoe"/>
    <s v="CA"/>
    <x v="2"/>
    <n v="0"/>
    <n v="223089"/>
    <n v="223089"/>
    <n v="0"/>
    <n v="11520"/>
    <n v="25200"/>
    <n v="209160"/>
    <n v="1440368"/>
    <n v="294504"/>
    <n v="2383983"/>
  </r>
  <r>
    <s v="94-2216915"/>
    <x v="11"/>
    <s v="South Lake Tahoe"/>
    <s v="CA"/>
    <x v="3"/>
    <n v="0"/>
    <n v="222496"/>
    <n v="222496"/>
    <n v="0"/>
    <n v="36720"/>
    <n v="0"/>
    <n v="241766"/>
    <n v="1426919"/>
    <n v="294504"/>
    <n v="2383983"/>
  </r>
  <r>
    <s v="23-7213237"/>
    <x v="12"/>
    <s v="San Luis Obispo"/>
    <s v="CA"/>
    <x v="1"/>
    <n v="370314"/>
    <n v="796"/>
    <n v="381067"/>
    <n v="0.97"/>
    <n v="0"/>
    <n v="182116"/>
    <n v="420263"/>
    <n v="294435"/>
    <n v="265274"/>
    <n v="306074"/>
  </r>
  <r>
    <s v="23-7213237"/>
    <x v="12"/>
    <s v="San Luis Obispo"/>
    <s v="CA"/>
    <x v="2"/>
    <n v="372750"/>
    <n v="1766"/>
    <n v="378417"/>
    <n v="0.99"/>
    <n v="0"/>
    <n v="120178"/>
    <n v="248148"/>
    <n v="333624"/>
    <n v="265274"/>
    <n v="306074"/>
  </r>
  <r>
    <s v="23-7213237"/>
    <x v="12"/>
    <s v="San Luis Obispo"/>
    <s v="CA"/>
    <x v="3"/>
    <n v="230532"/>
    <n v="1484"/>
    <n v="244807"/>
    <n v="0.94"/>
    <n v="0"/>
    <n v="52436"/>
    <n v="114618"/>
    <n v="203355"/>
    <n v="265274"/>
    <n v="306074"/>
  </r>
  <r>
    <s v="85-3432174"/>
    <x v="13"/>
    <s v="Carmel"/>
    <s v="CA"/>
    <x v="0"/>
    <n v="288191"/>
    <n v="0"/>
    <n v="288191"/>
    <n v="1"/>
    <n v="0"/>
    <n v="0"/>
    <n v="266700"/>
    <n v="110410"/>
    <n v="241142"/>
    <n v="134688"/>
  </r>
  <r>
    <s v="85-3432174"/>
    <x v="13"/>
    <s v="Carmel"/>
    <s v="CA"/>
    <x v="1"/>
    <n v="184245"/>
    <n v="0"/>
    <n v="184245"/>
    <n v="1"/>
    <n v="0"/>
    <n v="0"/>
    <n v="115570"/>
    <n v="88919"/>
    <n v="241142"/>
    <n v="134688"/>
  </r>
  <r>
    <s v="85-3432174"/>
    <x v="13"/>
    <s v="Carmel"/>
    <s v="CA"/>
    <x v="2"/>
    <n v="0"/>
    <n v="0"/>
    <n v="32085"/>
    <n v="0"/>
    <n v="0"/>
    <n v="0"/>
    <n v="11840"/>
    <n v="0"/>
    <n v="241142"/>
    <n v="134688"/>
  </r>
  <r>
    <s v="33-0974992"/>
    <x v="14"/>
    <s v="Long Beach"/>
    <s v="CA"/>
    <x v="0"/>
    <n v="123004"/>
    <n v="43812"/>
    <n v="166816"/>
    <n v="0.74"/>
    <n v="0"/>
    <n v="36471"/>
    <n v="201797"/>
    <n v="1524490"/>
    <n v="236345"/>
    <n v="1663156"/>
  </r>
  <r>
    <s v="33-0974992"/>
    <x v="14"/>
    <s v="Long Beach"/>
    <s v="CA"/>
    <x v="1"/>
    <n v="236838"/>
    <n v="63732"/>
    <n v="300570"/>
    <n v="0.79"/>
    <n v="0"/>
    <n v="36960"/>
    <n v="203664"/>
    <n v="1792486"/>
    <n v="236345"/>
    <n v="1663156"/>
  </r>
  <r>
    <s v="33-0974992"/>
    <x v="14"/>
    <s v="Long Beach"/>
    <s v="CA"/>
    <x v="2"/>
    <n v="127687"/>
    <n v="26294"/>
    <n v="153981"/>
    <n v="0.83"/>
    <n v="0"/>
    <n v="37100"/>
    <n v="284047"/>
    <n v="1514431"/>
    <n v="236345"/>
    <n v="1663156"/>
  </r>
  <r>
    <s v="33-0974992"/>
    <x v="14"/>
    <s v="Long Beach"/>
    <s v="CA"/>
    <x v="3"/>
    <n v="215864"/>
    <n v="43920"/>
    <n v="259784"/>
    <n v="0.83"/>
    <n v="0"/>
    <n v="30333"/>
    <n v="294302"/>
    <n v="1555540"/>
    <n v="236345"/>
    <n v="1663156"/>
  </r>
  <r>
    <s v="94-1693226"/>
    <x v="15"/>
    <s v="Aptos"/>
    <s v="CA"/>
    <x v="0"/>
    <n v="0"/>
    <n v="0"/>
    <n v="134671"/>
    <n v="0"/>
    <n v="0"/>
    <n v="0"/>
    <n v="127415"/>
    <n v="0"/>
    <n v="134671"/>
    <n v="490040"/>
  </r>
  <r>
    <s v="94-1693226"/>
    <x v="15"/>
    <s v="Aptos"/>
    <s v="CA"/>
    <x v="1"/>
    <n v="0"/>
    <n v="0"/>
    <n v="120032"/>
    <n v="0"/>
    <n v="0"/>
    <n v="0"/>
    <n v="113783"/>
    <n v="0"/>
    <n v="134671"/>
    <n v="490040"/>
  </r>
  <r>
    <s v="94-1693226"/>
    <x v="15"/>
    <s v="Aptos"/>
    <s v="CA"/>
    <x v="2"/>
    <n v="0"/>
    <n v="0"/>
    <n v="139901"/>
    <n v="0"/>
    <n v="0"/>
    <n v="0"/>
    <n v="134031"/>
    <n v="0"/>
    <n v="134671"/>
    <n v="490040"/>
  </r>
  <r>
    <s v="94-1693226"/>
    <x v="15"/>
    <s v="Aptos"/>
    <s v="CA"/>
    <x v="3"/>
    <n v="454961"/>
    <n v="5119"/>
    <n v="460080"/>
    <n v="0.99"/>
    <n v="0"/>
    <n v="0"/>
    <n v="450272"/>
    <n v="63719"/>
    <n v="134671"/>
    <n v="490040"/>
  </r>
  <r>
    <s v="22-3902362"/>
    <x v="16"/>
    <s v="Los Angeles"/>
    <s v="CA"/>
    <x v="0"/>
    <n v="209765"/>
    <n v="353"/>
    <n v="241948"/>
    <n v="0.87"/>
    <n v="48000"/>
    <n v="0"/>
    <n v="189854"/>
    <n v="392098"/>
    <n v="132799"/>
    <n v="348789"/>
  </r>
  <r>
    <s v="22-3902362"/>
    <x v="16"/>
    <s v="Los Angeles"/>
    <s v="CA"/>
    <x v="1"/>
    <n v="237393"/>
    <n v="190"/>
    <n v="265499"/>
    <n v="0.89"/>
    <n v="48000"/>
    <n v="0"/>
    <n v="166714"/>
    <n v="340004"/>
    <n v="132799"/>
    <n v="348789"/>
  </r>
  <r>
    <s v="22-3902362"/>
    <x v="16"/>
    <s v="Los Angeles"/>
    <s v="CA"/>
    <x v="2"/>
    <n v="0"/>
    <n v="0"/>
    <n v="44338"/>
    <n v="0"/>
    <n v="0"/>
    <n v="0"/>
    <n v="88121"/>
    <n v="0"/>
    <n v="132799"/>
    <n v="348789"/>
  </r>
  <r>
    <s v="22-3902362"/>
    <x v="16"/>
    <s v="Los Angeles"/>
    <s v="CA"/>
    <x v="3"/>
    <n v="0"/>
    <n v="0"/>
    <n v="120557"/>
    <n v="0"/>
    <n v="0"/>
    <n v="0"/>
    <n v="121326"/>
    <n v="0"/>
    <n v="132799"/>
    <n v="348789"/>
  </r>
  <r>
    <s v="95-6377791"/>
    <x v="17"/>
    <s v="San Diego"/>
    <s v="CA"/>
    <x v="0"/>
    <n v="0"/>
    <n v="0"/>
    <n v="61683"/>
    <n v="0"/>
    <n v="0"/>
    <n v="0"/>
    <n v="39782"/>
    <n v="0"/>
    <n v="114478"/>
    <n v="172836"/>
  </r>
  <r>
    <s v="95-6377791"/>
    <x v="17"/>
    <s v="San Diego"/>
    <s v="CA"/>
    <x v="1"/>
    <n v="0"/>
    <n v="0"/>
    <n v="47040"/>
    <n v="0"/>
    <n v="0"/>
    <n v="0"/>
    <n v="16152"/>
    <n v="0"/>
    <n v="114478"/>
    <n v="172836"/>
  </r>
  <r>
    <s v="95-6377791"/>
    <x v="17"/>
    <s v="San Diego"/>
    <s v="CA"/>
    <x v="2"/>
    <n v="0"/>
    <n v="0"/>
    <n v="46482"/>
    <n v="0"/>
    <n v="0"/>
    <n v="0"/>
    <n v="52940"/>
    <n v="0"/>
    <n v="114478"/>
    <n v="172836"/>
  </r>
  <r>
    <s v="95-6377791"/>
    <x v="17"/>
    <s v="San Diego"/>
    <s v="CA"/>
    <x v="3"/>
    <n v="0"/>
    <n v="0"/>
    <n v="53590"/>
    <n v="0"/>
    <n v="0"/>
    <n v="0"/>
    <n v="29383"/>
    <n v="0"/>
    <n v="114478"/>
    <n v="172836"/>
  </r>
  <r>
    <s v="33-0537412"/>
    <x v="18"/>
    <s v="San Pedro"/>
    <s v="CA"/>
    <x v="0"/>
    <n v="39869"/>
    <n v="12"/>
    <n v="39881"/>
    <n v="1"/>
    <n v="0"/>
    <n v="0"/>
    <n v="40579"/>
    <n v="87825"/>
    <n v="105191"/>
    <n v="116706"/>
  </r>
  <r>
    <s v="33-0537412"/>
    <x v="18"/>
    <s v="San Pedro"/>
    <s v="CA"/>
    <x v="1"/>
    <n v="6540"/>
    <n v="19"/>
    <n v="6559"/>
    <n v="1"/>
    <n v="0"/>
    <n v="0"/>
    <n v="17099"/>
    <n v="88523"/>
    <n v="105191"/>
    <n v="116706"/>
  </r>
  <r>
    <s v="33-0537412"/>
    <x v="18"/>
    <s v="San Pedro"/>
    <s v="CA"/>
    <x v="2"/>
    <n v="40849"/>
    <n v="15"/>
    <n v="40864"/>
    <n v="1"/>
    <n v="0"/>
    <n v="0"/>
    <n v="47944"/>
    <n v="99063"/>
    <n v="105191"/>
    <n v="116706"/>
  </r>
  <r>
    <s v="33-0537412"/>
    <x v="18"/>
    <s v="San Pedro"/>
    <s v="CA"/>
    <x v="3"/>
    <n v="47715"/>
    <n v="11"/>
    <n v="47726"/>
    <n v="1"/>
    <n v="0"/>
    <n v="0"/>
    <n v="56568"/>
    <n v="106143"/>
    <n v="105191"/>
    <n v="116706"/>
  </r>
  <r>
    <s v="45-3042628"/>
    <x v="19"/>
    <s v="Encinitas"/>
    <s v="CA"/>
    <x v="0"/>
    <n v="0"/>
    <n v="0"/>
    <n v="81624"/>
    <n v="0"/>
    <n v="0"/>
    <n v="0"/>
    <n v="130205"/>
    <n v="0"/>
    <n v="101808"/>
    <n v="219195"/>
  </r>
  <r>
    <s v="45-3042628"/>
    <x v="19"/>
    <s v="Encinitas"/>
    <s v="CA"/>
    <x v="1"/>
    <n v="0"/>
    <n v="0"/>
    <n v="100610"/>
    <n v="0"/>
    <n v="0"/>
    <n v="0"/>
    <n v="119917"/>
    <n v="0"/>
    <n v="101808"/>
    <n v="219195"/>
  </r>
  <r>
    <s v="45-3042628"/>
    <x v="19"/>
    <s v="Encinitas"/>
    <s v="CA"/>
    <x v="2"/>
    <n v="368"/>
    <n v="258449"/>
    <n v="260362"/>
    <n v="0"/>
    <n v="185000"/>
    <n v="0"/>
    <n v="412275"/>
    <n v="317658"/>
    <n v="101808"/>
    <n v="219195"/>
  </r>
  <r>
    <s v="45-3042628"/>
    <x v="19"/>
    <s v="Encinitas"/>
    <s v="CA"/>
    <x v="3"/>
    <n v="57684"/>
    <n v="699044"/>
    <n v="756728"/>
    <n v="0.08"/>
    <n v="244259"/>
    <n v="0"/>
    <n v="741402"/>
    <n v="475643"/>
    <n v="101808"/>
    <n v="219195"/>
  </r>
  <r>
    <s v="95-2496099"/>
    <x v="20"/>
    <s v="Santa Barbara"/>
    <s v="CA"/>
    <x v="0"/>
    <n v="92251"/>
    <n v="0"/>
    <n v="92251"/>
    <n v="1"/>
    <n v="54000"/>
    <n v="0"/>
    <n v="136845"/>
    <n v="610238"/>
    <n v="82636"/>
    <n v="617080"/>
  </r>
  <r>
    <s v="95-2496099"/>
    <x v="20"/>
    <s v="Santa Barbara"/>
    <s v="CA"/>
    <x v="1"/>
    <n v="179434"/>
    <n v="0"/>
    <n v="179434"/>
    <n v="1"/>
    <n v="54000"/>
    <n v="0"/>
    <n v="263934"/>
    <n v="767029"/>
    <n v="82636"/>
    <n v="617080"/>
  </r>
  <r>
    <s v="95-2496099"/>
    <x v="20"/>
    <s v="Santa Barbara"/>
    <s v="CA"/>
    <x v="2"/>
    <n v="95682"/>
    <n v="33843"/>
    <n v="129525"/>
    <n v="0.74"/>
    <n v="48500"/>
    <n v="0"/>
    <n v="287589"/>
    <n v="765963"/>
    <n v="82636"/>
    <n v="617080"/>
  </r>
  <r>
    <s v="95-2496099"/>
    <x v="20"/>
    <s v="Santa Barbara"/>
    <s v="CA"/>
    <x v="3"/>
    <n v="43945"/>
    <n v="593477"/>
    <n v="637422"/>
    <n v="7.0000000000000007E-2"/>
    <n v="47000"/>
    <n v="0"/>
    <n v="213173"/>
    <n v="861276"/>
    <n v="82636"/>
    <n v="617080"/>
  </r>
  <r>
    <s v="45-2639830"/>
    <x v="21"/>
    <s v="Venice"/>
    <s v="CA"/>
    <x v="0"/>
    <n v="0"/>
    <n v="0"/>
    <n v="152553"/>
    <n v="0"/>
    <n v="0"/>
    <n v="0"/>
    <n v="51078"/>
    <n v="0"/>
    <n v="44071"/>
    <n v="421068"/>
  </r>
  <r>
    <s v="45-2639830"/>
    <x v="21"/>
    <s v="Venice"/>
    <s v="CA"/>
    <x v="2"/>
    <n v="0"/>
    <n v="0"/>
    <n v="67300"/>
    <n v="0"/>
    <n v="0"/>
    <n v="0"/>
    <n v="62601"/>
    <n v="0"/>
    <n v="44071"/>
    <n v="421068"/>
  </r>
  <r>
    <s v="95-3273023"/>
    <x v="22"/>
    <s v="San Francisco"/>
    <s v="CA"/>
    <x v="2"/>
    <n v="1052033"/>
    <n v="22636"/>
    <n v="1086568"/>
    <n v="0.97"/>
    <n v="167000"/>
    <n v="25026"/>
    <n v="1281778"/>
    <n v="572235"/>
    <n v="2942863"/>
    <n v="703781"/>
  </r>
  <r>
    <s v="95-3273023"/>
    <x v="22"/>
    <s v="San Francisco"/>
    <s v="CA"/>
    <x v="3"/>
    <n v="1327437"/>
    <n v="191321"/>
    <n v="1529502"/>
    <n v="0.87"/>
    <n v="226063"/>
    <n v="0"/>
    <n v="792166"/>
    <n v="767445"/>
    <n v="2942863"/>
    <n v="703781"/>
  </r>
  <r>
    <s v="68-0120240"/>
    <x v="23"/>
    <s v="Oakland"/>
    <s v="CA"/>
    <x v="0"/>
    <n v="2344401"/>
    <n v="219576"/>
    <n v="2570056"/>
    <n v="0.91"/>
    <n v="270238"/>
    <n v="853511"/>
    <n v="1680433"/>
    <n v="1742816"/>
    <n v="2118458"/>
    <n v="2426668"/>
  </r>
  <r>
    <s v="68-0120240"/>
    <x v="23"/>
    <s v="Oakland"/>
    <s v="CA"/>
    <x v="1"/>
    <n v="1245090"/>
    <n v="246645"/>
    <n v="1495238"/>
    <n v="0.83"/>
    <n v="251716"/>
    <n v="755454"/>
    <n v="1475817"/>
    <n v="1102272"/>
    <n v="2118458"/>
    <n v="2426668"/>
  </r>
  <r>
    <s v="68-0120240"/>
    <x v="23"/>
    <s v="Oakland"/>
    <s v="CA"/>
    <x v="2"/>
    <n v="1213216"/>
    <n v="201890"/>
    <n v="1487284"/>
    <n v="0.82"/>
    <n v="224675"/>
    <n v="783039"/>
    <n v="1502839"/>
    <n v="1017126"/>
    <n v="2118458"/>
    <n v="2426668"/>
  </r>
  <r>
    <s v="68-0120240"/>
    <x v="23"/>
    <s v="Oakland"/>
    <s v="CA"/>
    <x v="3"/>
    <n v="1231045"/>
    <n v="292549"/>
    <n v="1523594"/>
    <n v="0.81"/>
    <n v="218135"/>
    <n v="639076"/>
    <n v="1593584"/>
    <n v="1100144"/>
    <n v="2118458"/>
    <n v="2426668"/>
  </r>
  <r>
    <s v="95-2566791"/>
    <x v="24"/>
    <s v="San Diego"/>
    <s v="CA"/>
    <x v="0"/>
    <n v="630499"/>
    <n v="1306127"/>
    <n v="1936406"/>
    <n v="0.33"/>
    <n v="126334"/>
    <n v="990102"/>
    <n v="1813227"/>
    <n v="1073185"/>
    <n v="2097188"/>
    <n v="1309500"/>
  </r>
  <r>
    <s v="95-2566791"/>
    <x v="24"/>
    <s v="San Diego"/>
    <s v="CA"/>
    <x v="1"/>
    <n v="329658"/>
    <n v="1008072"/>
    <n v="1340137"/>
    <n v="0.25"/>
    <n v="184181"/>
    <n v="671362"/>
    <n v="1458598"/>
    <n v="1011704"/>
    <n v="2097188"/>
    <n v="1309500"/>
  </r>
  <r>
    <s v="95-2566791"/>
    <x v="24"/>
    <s v="San Diego"/>
    <s v="CA"/>
    <x v="2"/>
    <n v="547843"/>
    <n v="966402"/>
    <n v="1508757"/>
    <n v="0.36"/>
    <n v="133359"/>
    <n v="717143"/>
    <n v="1398627"/>
    <n v="1054891"/>
    <n v="2097188"/>
    <n v="1309500"/>
  </r>
  <r>
    <s v="95-2566791"/>
    <x v="24"/>
    <s v="San Diego"/>
    <s v="CA"/>
    <x v="3"/>
    <n v="503287"/>
    <n v="1290926"/>
    <n v="1804843"/>
    <n v="0.28000000000000003"/>
    <n v="110000"/>
    <n v="752363"/>
    <n v="1694103"/>
    <n v="917718"/>
    <n v="2097188"/>
    <n v="1309500"/>
  </r>
  <r>
    <s v="77-0565183"/>
    <x v="25"/>
    <s v="Santa Barbara"/>
    <s v="CA"/>
    <x v="0"/>
    <n v="939705"/>
    <n v="2122"/>
    <n v="941249"/>
    <n v="1"/>
    <n v="155450"/>
    <n v="142176"/>
    <n v="674629"/>
    <n v="1375594"/>
    <n v="1836081"/>
    <n v="2106124"/>
  </r>
  <r>
    <s v="77-0565183"/>
    <x v="25"/>
    <s v="Santa Barbara"/>
    <s v="CA"/>
    <x v="1"/>
    <n v="755623"/>
    <n v="456"/>
    <n v="741797"/>
    <n v="1.02"/>
    <n v="155300"/>
    <n v="101892"/>
    <n v="618885"/>
    <n v="1108974"/>
    <n v="1836081"/>
    <n v="2106124"/>
  </r>
  <r>
    <s v="77-0565183"/>
    <x v="25"/>
    <s v="Santa Barbara"/>
    <s v="CA"/>
    <x v="2"/>
    <n v="1015157"/>
    <n v="1275"/>
    <n v="999951"/>
    <n v="1.02"/>
    <n v="155250"/>
    <n v="93995"/>
    <n v="501502"/>
    <n v="986062"/>
    <n v="1836081"/>
    <n v="2106124"/>
  </r>
  <r>
    <s v="77-0565183"/>
    <x v="25"/>
    <s v="Santa Barbara"/>
    <s v="CA"/>
    <x v="3"/>
    <n v="500079"/>
    <n v="1692"/>
    <n v="529975"/>
    <n v="0.94"/>
    <n v="136324"/>
    <n v="67783"/>
    <n v="429846"/>
    <n v="487613"/>
    <n v="1836081"/>
    <n v="2106124"/>
  </r>
  <r>
    <s v="82-4594246"/>
    <x v="26"/>
    <s v="Los Angeles"/>
    <s v="CA"/>
    <x v="0"/>
    <n v="1195999"/>
    <n v="1315"/>
    <n v="1197314"/>
    <n v="1"/>
    <n v="80308"/>
    <n v="665221"/>
    <n v="1053175"/>
    <n v="1119071"/>
    <n v="1670660"/>
    <n v="1441271"/>
  </r>
  <r>
    <s v="82-4594246"/>
    <x v="26"/>
    <s v="Los Angeles"/>
    <s v="CA"/>
    <x v="1"/>
    <n v="1489539"/>
    <n v="13686"/>
    <n v="1508083"/>
    <n v="0.99"/>
    <n v="0"/>
    <n v="563616"/>
    <n v="1002017"/>
    <n v="975975"/>
    <n v="1670660"/>
    <n v="1441271"/>
  </r>
  <r>
    <s v="82-4594246"/>
    <x v="26"/>
    <s v="Los Angeles"/>
    <s v="CA"/>
    <x v="2"/>
    <n v="1049786"/>
    <n v="6232"/>
    <n v="1032275"/>
    <n v="1.02"/>
    <n v="52053"/>
    <n v="450178"/>
    <n v="931951"/>
    <n v="469873"/>
    <n v="1670660"/>
    <n v="1441271"/>
  </r>
  <r>
    <s v="82-4594246"/>
    <x v="26"/>
    <s v="Los Angeles"/>
    <s v="CA"/>
    <x v="3"/>
    <n v="904789"/>
    <n v="31471"/>
    <n v="921966"/>
    <n v="0.98"/>
    <n v="0"/>
    <n v="377372"/>
    <n v="587655"/>
    <n v="367735"/>
    <n v="1670660"/>
    <n v="1441271"/>
  </r>
  <r>
    <s v="83-1159078"/>
    <x v="27"/>
    <s v="San Diego"/>
    <s v="CA"/>
    <x v="0"/>
    <n v="0"/>
    <n v="0"/>
    <n v="267725"/>
    <n v="0"/>
    <n v="0"/>
    <n v="0"/>
    <n v="49292"/>
    <n v="0"/>
    <n v="1611057"/>
    <n v="1916038"/>
  </r>
  <r>
    <s v="83-1159078"/>
    <x v="27"/>
    <s v="San Diego"/>
    <s v="CA"/>
    <x v="1"/>
    <n v="0"/>
    <n v="0"/>
    <n v="280862"/>
    <n v="0"/>
    <n v="0"/>
    <n v="0"/>
    <n v="45735"/>
    <n v="0"/>
    <n v="1611057"/>
    <n v="1916038"/>
  </r>
  <r>
    <s v="83-1159078"/>
    <x v="27"/>
    <s v="San Diego"/>
    <s v="CA"/>
    <x v="2"/>
    <n v="0"/>
    <n v="0"/>
    <n v="135073"/>
    <n v="0"/>
    <n v="0"/>
    <n v="0"/>
    <n v="33377"/>
    <n v="0"/>
    <n v="1611057"/>
    <n v="1916038"/>
  </r>
  <r>
    <s v="83-1159078"/>
    <x v="27"/>
    <s v="San Diego"/>
    <s v="CA"/>
    <x v="3"/>
    <n v="0"/>
    <n v="0"/>
    <n v="30820"/>
    <n v="0"/>
    <n v="0"/>
    <n v="0"/>
    <n v="15079"/>
    <n v="0"/>
    <n v="1611057"/>
    <n v="1916038"/>
  </r>
  <r>
    <s v="01-0777856"/>
    <x v="28"/>
    <s v="San Francisco"/>
    <s v="CA"/>
    <x v="0"/>
    <n v="1402704"/>
    <n v="40356"/>
    <n v="1456340"/>
    <n v="0.96"/>
    <n v="125009"/>
    <n v="462758"/>
    <n v="1123941"/>
    <n v="818593"/>
    <n v="1607577"/>
    <n v="1422060"/>
  </r>
  <r>
    <s v="01-0777856"/>
    <x v="28"/>
    <s v="San Francisco"/>
    <s v="CA"/>
    <x v="1"/>
    <n v="954643"/>
    <n v="8639"/>
    <n v="992611"/>
    <n v="0.96"/>
    <n v="96710"/>
    <n v="205596"/>
    <n v="845145"/>
    <n v="407389"/>
    <n v="1607577"/>
    <n v="1422060"/>
  </r>
  <r>
    <s v="01-0777856"/>
    <x v="28"/>
    <s v="San Francisco"/>
    <s v="CA"/>
    <x v="2"/>
    <n v="839811"/>
    <n v="11890"/>
    <n v="863468"/>
    <n v="0.97"/>
    <n v="91124"/>
    <n v="352537"/>
    <n v="831504"/>
    <n v="225265"/>
    <n v="1607577"/>
    <n v="1422060"/>
  </r>
  <r>
    <s v="01-0777856"/>
    <x v="28"/>
    <s v="San Francisco"/>
    <s v="CA"/>
    <x v="3"/>
    <n v="933994"/>
    <n v="40544"/>
    <n v="991792"/>
    <n v="0.94"/>
    <n v="86039"/>
    <n v="422553"/>
    <n v="1065121"/>
    <n v="202295"/>
    <n v="1607577"/>
    <n v="1422060"/>
  </r>
  <r>
    <s v="38-3891081"/>
    <x v="29"/>
    <s v="Greenbrae"/>
    <s v="CA"/>
    <x v="0"/>
    <n v="390258"/>
    <n v="243430"/>
    <n v="635357"/>
    <n v="0.61"/>
    <n v="312319"/>
    <n v="35105"/>
    <n v="1156659"/>
    <n v="1092272"/>
    <n v="1602872"/>
    <n v="886037"/>
  </r>
  <r>
    <s v="38-3891081"/>
    <x v="29"/>
    <s v="Greenbrae"/>
    <s v="CA"/>
    <x v="1"/>
    <n v="1267452"/>
    <n v="350418"/>
    <n v="1617995"/>
    <n v="0.78"/>
    <n v="241656"/>
    <n v="51356"/>
    <n v="1411389"/>
    <n v="1613574"/>
    <n v="1602872"/>
    <n v="886037"/>
  </r>
  <r>
    <s v="38-3891081"/>
    <x v="29"/>
    <s v="Greenbrae"/>
    <s v="CA"/>
    <x v="2"/>
    <n v="1737003"/>
    <n v="140954"/>
    <n v="1878207"/>
    <n v="0.92"/>
    <n v="0"/>
    <n v="138461"/>
    <n v="495857"/>
    <n v="1406967"/>
    <n v="1602872"/>
    <n v="886037"/>
  </r>
  <r>
    <s v="38-3891081"/>
    <x v="29"/>
    <s v="Greenbrae"/>
    <s v="CA"/>
    <x v="3"/>
    <n v="1780829"/>
    <n v="558212"/>
    <n v="2343503"/>
    <n v="0.76"/>
    <n v="0"/>
    <n v="262284"/>
    <n v="2482620"/>
    <n v="-41788"/>
    <n v="1602872"/>
    <n v="886037"/>
  </r>
  <r>
    <s v="94-2951488"/>
    <x v="30"/>
    <s v="Sausalito"/>
    <s v="CA"/>
    <x v="0"/>
    <n v="1296014"/>
    <n v="606914"/>
    <n v="1890507"/>
    <n v="0.69"/>
    <n v="113077"/>
    <n v="524362"/>
    <n v="1456490"/>
    <n v="6155016"/>
    <n v="1572244"/>
    <n v="6191148"/>
  </r>
  <r>
    <s v="94-2951488"/>
    <x v="30"/>
    <s v="Sausalito"/>
    <s v="CA"/>
    <x v="1"/>
    <n v="1052361"/>
    <n v="400334"/>
    <n v="1453610"/>
    <n v="0.72"/>
    <n v="0"/>
    <n v="351837"/>
    <n v="892362"/>
    <n v="5720999"/>
    <n v="1572244"/>
    <n v="6191148"/>
  </r>
  <r>
    <s v="94-2951488"/>
    <x v="30"/>
    <s v="Sausalito"/>
    <s v="CA"/>
    <x v="2"/>
    <n v="502457"/>
    <n v="253897"/>
    <n v="756354"/>
    <n v="0.66"/>
    <n v="27323"/>
    <n v="356727"/>
    <n v="910345"/>
    <n v="5159751"/>
    <n v="1572244"/>
    <n v="6191148"/>
  </r>
  <r>
    <s v="94-2951488"/>
    <x v="30"/>
    <s v="Sausalito"/>
    <s v="CA"/>
    <x v="3"/>
    <n v="1086101"/>
    <n v="230329"/>
    <n v="1366267"/>
    <n v="0.79"/>
    <n v="31320"/>
    <n v="432857"/>
    <n v="1041839"/>
    <n v="5360819"/>
    <n v="1572244"/>
    <n v="6191148"/>
  </r>
  <r>
    <s v="94-2788588"/>
    <x v="31"/>
    <s v="Milpitas"/>
    <s v="CA"/>
    <x v="0"/>
    <n v="673090"/>
    <n v="433777"/>
    <n v="1106867"/>
    <n v="0.61"/>
    <n v="81115"/>
    <n v="738005"/>
    <n v="1263695"/>
    <n v="283127"/>
    <n v="1288654"/>
    <n v="419569"/>
  </r>
  <r>
    <s v="94-2788588"/>
    <x v="31"/>
    <s v="Milpitas"/>
    <s v="CA"/>
    <x v="1"/>
    <n v="920177"/>
    <n v="368466"/>
    <n v="1288643"/>
    <n v="0.71"/>
    <n v="84822"/>
    <n v="529046"/>
    <n v="987438"/>
    <n v="504223"/>
    <n v="1288654"/>
    <n v="419569"/>
  </r>
  <r>
    <s v="94-2788588"/>
    <x v="31"/>
    <s v="Milpitas"/>
    <s v="CA"/>
    <x v="2"/>
    <n v="638586"/>
    <n v="257675"/>
    <n v="896261"/>
    <n v="0.71"/>
    <n v="71981"/>
    <n v="455003"/>
    <n v="906015"/>
    <n v="203018"/>
    <n v="1288654"/>
    <n v="419569"/>
  </r>
  <r>
    <s v="94-2788588"/>
    <x v="31"/>
    <s v="Milpitas"/>
    <s v="CA"/>
    <x v="3"/>
    <n v="781772"/>
    <n v="255412"/>
    <n v="1037549"/>
    <n v="0.75"/>
    <n v="68904"/>
    <n v="474773"/>
    <n v="1004118"/>
    <n v="212772"/>
    <n v="1288654"/>
    <n v="419569"/>
  </r>
  <r>
    <s v="88-1650309"/>
    <x v="32"/>
    <s v="Orleans"/>
    <s v="CA"/>
    <x v="0"/>
    <n v="1009826"/>
    <n v="0"/>
    <n v="1009826"/>
    <n v="1"/>
    <n v="52195"/>
    <n v="123136"/>
    <n v="335264"/>
    <n v="674563"/>
    <n v="1009826"/>
    <n v="688370"/>
  </r>
  <r>
    <s v="43-2050242"/>
    <x v="33"/>
    <s v="San Francisco"/>
    <s v="CA"/>
    <x v="1"/>
    <n v="792765"/>
    <n v="459"/>
    <n v="793224"/>
    <n v="1"/>
    <n v="65000"/>
    <n v="281642"/>
    <n v="683457"/>
    <n v="332086"/>
    <n v="834626"/>
    <n v="1128147"/>
  </r>
  <r>
    <s v="43-2050242"/>
    <x v="33"/>
    <s v="San Francisco"/>
    <s v="CA"/>
    <x v="2"/>
    <n v="1120714"/>
    <n v="144"/>
    <n v="1120858"/>
    <n v="1"/>
    <n v="60000"/>
    <n v="379932"/>
    <n v="787002"/>
    <n v="1051735"/>
    <n v="834626"/>
    <n v="1128147"/>
  </r>
  <r>
    <s v="43-2050242"/>
    <x v="33"/>
    <s v="San Francisco"/>
    <s v="CA"/>
    <x v="3"/>
    <n v="702717"/>
    <n v="178"/>
    <n v="702895"/>
    <n v="1"/>
    <n v="60000"/>
    <n v="0"/>
    <n v="695926"/>
    <n v="290221"/>
    <n v="834626"/>
    <n v="1128147"/>
  </r>
  <r>
    <s v="30-0358349"/>
    <x v="34"/>
    <s v="San Francisco"/>
    <s v="CA"/>
    <x v="0"/>
    <n v="0"/>
    <n v="0"/>
    <n v="157647"/>
    <n v="0"/>
    <n v="0"/>
    <n v="0"/>
    <n v="56678"/>
    <n v="0"/>
    <n v="160893"/>
    <n v="540175"/>
  </r>
  <r>
    <s v="30-0358349"/>
    <x v="34"/>
    <s v="San Francisco"/>
    <s v="CA"/>
    <x v="1"/>
    <n v="243609"/>
    <n v="0"/>
    <n v="243609"/>
    <n v="1"/>
    <n v="0"/>
    <n v="0"/>
    <n v="63258"/>
    <n v="374705"/>
    <n v="160893"/>
    <n v="540175"/>
  </r>
  <r>
    <s v="30-0358349"/>
    <x v="34"/>
    <s v="San Francisco"/>
    <s v="CA"/>
    <x v="2"/>
    <n v="0"/>
    <n v="0"/>
    <n v="132993"/>
    <n v="0"/>
    <n v="0"/>
    <n v="0"/>
    <n v="63602"/>
    <n v="0"/>
    <n v="160893"/>
    <n v="540175"/>
  </r>
  <r>
    <s v="46-5112972"/>
    <x v="35"/>
    <s v="San Francisco"/>
    <s v="CA"/>
    <x v="0"/>
    <n v="0"/>
    <n v="0"/>
    <n v="90414"/>
    <n v="0"/>
    <n v="0"/>
    <n v="0"/>
    <n v="544133"/>
    <n v="0"/>
    <n v="132973"/>
    <n v="111186"/>
  </r>
  <r>
    <s v="46-5112972"/>
    <x v="35"/>
    <s v="San Francisco"/>
    <s v="CA"/>
    <x v="1"/>
    <n v="0"/>
    <n v="0"/>
    <n v="1052631"/>
    <n v="0"/>
    <n v="0"/>
    <n v="0"/>
    <n v="357072"/>
    <n v="0"/>
    <n v="132973"/>
    <n v="111186"/>
  </r>
  <r>
    <s v="46-5112972"/>
    <x v="35"/>
    <s v="San Francisco"/>
    <s v="CA"/>
    <x v="2"/>
    <n v="0"/>
    <n v="0"/>
    <n v="180968"/>
    <n v="0"/>
    <n v="0"/>
    <n v="0"/>
    <n v="126370"/>
    <n v="0"/>
    <n v="132973"/>
    <n v="111186"/>
  </r>
  <r>
    <s v="46-5112972"/>
    <x v="35"/>
    <s v="San Francisco"/>
    <s v="CA"/>
    <x v="3"/>
    <n v="0"/>
    <n v="0"/>
    <n v="115019"/>
    <n v="0"/>
    <n v="0"/>
    <n v="0"/>
    <n v="164778"/>
    <n v="0"/>
    <n v="132973"/>
    <n v="111186"/>
  </r>
  <r>
    <s v="83-1241456"/>
    <x v="36"/>
    <s v="Pacifica"/>
    <s v="CA"/>
    <x v="4"/>
    <n v="112871"/>
    <n v="563"/>
    <n v="182951"/>
    <n v="0.61699999999999999"/>
    <n v="48000"/>
    <n v="0"/>
    <n v="168219"/>
    <n v="222410"/>
    <n v="183564"/>
    <n v="222410"/>
  </r>
  <r>
    <s v="83-1241456"/>
    <x v="36"/>
    <s v="Pacifica"/>
    <s v="CA"/>
    <x v="0"/>
    <n v="119405"/>
    <n v="0"/>
    <n v="206452"/>
    <n v="0.57799999999999996"/>
    <n v="43191"/>
    <n v="0"/>
    <n v="153081"/>
    <n v="207678"/>
    <n v="183564"/>
    <n v="222410"/>
  </r>
  <r>
    <s v="83-1241456"/>
    <x v="36"/>
    <s v="Pacifica"/>
    <s v="CA"/>
    <x v="1"/>
    <n v="138711"/>
    <n v="0"/>
    <n v="213425"/>
    <n v="0.65"/>
    <n v="28764"/>
    <n v="0"/>
    <n v="164777"/>
    <n v="151781"/>
    <n v="183564"/>
    <n v="222410"/>
  </r>
  <r>
    <s v="83-1241456"/>
    <x v="36"/>
    <s v="Pacifica"/>
    <s v="CA"/>
    <x v="2"/>
    <n v="92325"/>
    <n v="0"/>
    <n v="138790"/>
    <n v="0.66500000000000004"/>
    <n v="13000"/>
    <n v="0"/>
    <n v="163818"/>
    <n v="103132"/>
    <n v="183564"/>
    <n v="222410"/>
  </r>
  <r>
    <s v="83-1241456"/>
    <x v="36"/>
    <s v="Pacifica"/>
    <s v="CA"/>
    <x v="3"/>
    <n v="55397"/>
    <n v="0"/>
    <n v="146136"/>
    <n v="0.379"/>
    <n v="27700"/>
    <n v="0"/>
    <n v="95416"/>
    <n v="112804"/>
    <n v="183564"/>
    <n v="222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319015-32C2-4890-879A-8ECB42238E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rowPageCount="1" colPageCount="1"/>
  <pivotFields count="15">
    <pivotField showAll="0"/>
    <pivotField axis="axisRow" showAll="0" sortType="ascending">
      <items count="38">
        <item x="22"/>
        <item x="18"/>
        <item x="30"/>
        <item x="13"/>
        <item x="34"/>
        <item x="12"/>
        <item x="33"/>
        <item x="25"/>
        <item x="7"/>
        <item x="24"/>
        <item x="2"/>
        <item x="9"/>
        <item x="28"/>
        <item x="14"/>
        <item x="26"/>
        <item x="3"/>
        <item x="8"/>
        <item x="29"/>
        <item x="36"/>
        <item x="5"/>
        <item x="17"/>
        <item x="4"/>
        <item x="16"/>
        <item x="1"/>
        <item x="31"/>
        <item x="23"/>
        <item x="20"/>
        <item x="32"/>
        <item x="6"/>
        <item x="15"/>
        <item x="19"/>
        <item x="11"/>
        <item x="27"/>
        <item x="35"/>
        <item x="21"/>
        <item x="0"/>
        <item x="10"/>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6">
        <item x="3"/>
        <item x="2"/>
        <item x="1"/>
        <item x="0"/>
        <item x="4"/>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34">
    <i>
      <x v="1"/>
    </i>
    <i>
      <x v="20"/>
    </i>
    <i>
      <x v="30"/>
    </i>
    <i>
      <x v="33"/>
    </i>
    <i>
      <x v="26"/>
    </i>
    <i>
      <x v="29"/>
    </i>
    <i>
      <x v="36"/>
    </i>
    <i>
      <x v="34"/>
    </i>
    <i>
      <x v="4"/>
    </i>
    <i>
      <x v="13"/>
    </i>
    <i>
      <x v="10"/>
    </i>
    <i>
      <x v="18"/>
    </i>
    <i>
      <x v="22"/>
    </i>
    <i>
      <x v="21"/>
    </i>
    <i>
      <x v="32"/>
    </i>
    <i>
      <x v="3"/>
    </i>
    <i>
      <x v="31"/>
    </i>
    <i>
      <x v="8"/>
    </i>
    <i>
      <x v="19"/>
    </i>
    <i>
      <x v="28"/>
    </i>
    <i>
      <x v="11"/>
    </i>
    <i>
      <x v="17"/>
    </i>
    <i>
      <x v="16"/>
    </i>
    <i>
      <x v="35"/>
    </i>
    <i>
      <x v="7"/>
    </i>
    <i>
      <x v="27"/>
    </i>
    <i>
      <x v="15"/>
    </i>
    <i>
      <x v="24"/>
    </i>
    <i>
      <x v="14"/>
    </i>
    <i>
      <x v="12"/>
    </i>
    <i>
      <x v="2"/>
    </i>
    <i>
      <x v="9"/>
    </i>
    <i>
      <x v="25"/>
    </i>
    <i t="grand">
      <x/>
    </i>
  </rowItems>
  <colItems count="1">
    <i/>
  </colItems>
  <pageFields count="1">
    <pageField fld="4" item="3" hier="-1"/>
  </pageFields>
  <dataFields count="1">
    <dataField name="Sum of Total Revenue" fld="7" baseField="0" baseItem="0"/>
  </dataFields>
  <formats count="1">
    <format dxfId="0">
      <pivotArea collapsedLevelsAreSubtotals="1" fieldPosition="0">
        <references count="1">
          <reference field="1" count="33">
            <x v="1"/>
            <x v="2"/>
            <x v="3"/>
            <x v="4"/>
            <x v="7"/>
            <x v="8"/>
            <x v="9"/>
            <x v="10"/>
            <x v="11"/>
            <x v="12"/>
            <x v="13"/>
            <x v="14"/>
            <x v="15"/>
            <x v="16"/>
            <x v="17"/>
            <x v="18"/>
            <x v="19"/>
            <x v="20"/>
            <x v="21"/>
            <x v="22"/>
            <x v="24"/>
            <x v="25"/>
            <x v="26"/>
            <x v="27"/>
            <x v="28"/>
            <x v="29"/>
            <x v="30"/>
            <x v="31"/>
            <x v="32"/>
            <x v="33"/>
            <x v="34"/>
            <x v="35"/>
            <x v="3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C49BD-0785-4408-B59D-73C8D89878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2" firstHeaderRow="1" firstDataRow="1" firstDataCol="1"/>
  <pivotFields count="8">
    <pivotField showAll="0"/>
    <pivotField axis="axisRow" showAll="0">
      <items count="39">
        <item x="25"/>
        <item x="24"/>
        <item x="20"/>
        <item x="32"/>
        <item x="13"/>
        <item x="36"/>
        <item x="12"/>
        <item x="35"/>
        <item x="27"/>
        <item x="7"/>
        <item x="26"/>
        <item x="2"/>
        <item x="30"/>
        <item x="14"/>
        <item x="16"/>
        <item x="15"/>
        <item x="28"/>
        <item x="3"/>
        <item x="8"/>
        <item x="31"/>
        <item x="5"/>
        <item x="19"/>
        <item x="4"/>
        <item x="18"/>
        <item x="1"/>
        <item x="33"/>
        <item x="22"/>
        <item x="34"/>
        <item x="6"/>
        <item x="23"/>
        <item x="17"/>
        <item x="21"/>
        <item x="11"/>
        <item x="29"/>
        <item x="9"/>
        <item x="37"/>
        <item x="0"/>
        <item x="10"/>
        <item t="default"/>
      </items>
    </pivotField>
    <pivotField showAll="0"/>
    <pivotField showAll="0">
      <items count="55">
        <item x="42"/>
        <item x="3"/>
        <item x="39"/>
        <item x="1"/>
        <item x="38"/>
        <item x="49"/>
        <item x="43"/>
        <item x="25"/>
        <item x="13"/>
        <item x="12"/>
        <item x="45"/>
        <item x="18"/>
        <item x="27"/>
        <item x="41"/>
        <item x="15"/>
        <item x="47"/>
        <item x="16"/>
        <item x="20"/>
        <item x="31"/>
        <item x="50"/>
        <item x="53"/>
        <item x="30"/>
        <item x="7"/>
        <item x="48"/>
        <item x="11"/>
        <item x="0"/>
        <item x="40"/>
        <item x="26"/>
        <item x="21"/>
        <item x="51"/>
        <item x="33"/>
        <item x="28"/>
        <item x="35"/>
        <item x="34"/>
        <item x="36"/>
        <item x="52"/>
        <item x="29"/>
        <item x="23"/>
        <item x="5"/>
        <item x="10"/>
        <item x="46"/>
        <item x="4"/>
        <item x="8"/>
        <item x="22"/>
        <item x="32"/>
        <item x="2"/>
        <item x="37"/>
        <item x="9"/>
        <item x="19"/>
        <item x="44"/>
        <item x="17"/>
        <item x="24"/>
        <item x="6"/>
        <item x="14"/>
        <item t="default"/>
      </items>
    </pivotField>
    <pivotField numFmtId="6" showAll="0"/>
    <pivotField numFmtId="6" showAll="0"/>
    <pivotField numFmtId="6" showAll="0"/>
    <pivotField showAll="0"/>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7</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causeiq.com/organizations/amazonsmile-foundation,462626883/" TargetMode="External"/><Relationship Id="rId18" Type="http://schemas.openxmlformats.org/officeDocument/2006/relationships/hyperlink" Target="https://www.causeiq.com/organizations/schwab-charitable-fund,311640316/" TargetMode="External"/><Relationship Id="rId26" Type="http://schemas.openxmlformats.org/officeDocument/2006/relationships/hyperlink" Target="https://www.causeiq.com/organizations/vegan-outreach,860736818/" TargetMode="External"/><Relationship Id="rId39" Type="http://schemas.openxmlformats.org/officeDocument/2006/relationships/hyperlink" Target="https://www.causeiq.com/organizations/utility-farm,822281466/" TargetMode="External"/><Relationship Id="rId21" Type="http://schemas.openxmlformats.org/officeDocument/2006/relationships/hyperlink" Target="https://www.causeiq.com/organizations/ellen-browning-scripps-foundation,951644633/" TargetMode="External"/><Relationship Id="rId34" Type="http://schemas.openxmlformats.org/officeDocument/2006/relationships/hyperlink" Target="https://www.causeiq.com/organizations/10-25-tomorrow-foundation,411894487/" TargetMode="External"/><Relationship Id="rId42" Type="http://schemas.openxmlformats.org/officeDocument/2006/relationships/hyperlink" Target="https://www.causeiq.com/organizations/william-and-flora-hewlett-foundation,941655673/" TargetMode="External"/><Relationship Id="rId47" Type="http://schemas.openxmlformats.org/officeDocument/2006/relationships/hyperlink" Target="https://www.causeiq.com/organizations/american-online-giving-foundation,810739440/" TargetMode="External"/><Relationship Id="rId50" Type="http://schemas.openxmlformats.org/officeDocument/2006/relationships/hyperlink" Target="https://www.causeiq.com/organizations/fidelity-investments-charitable-gift-fund,110303001/" TargetMode="External"/><Relationship Id="rId7" Type="http://schemas.openxmlformats.org/officeDocument/2006/relationships/hyperlink" Target="https://www.causeiq.com/organizations/amazonsmile-foundation,462626883/" TargetMode="External"/><Relationship Id="rId2" Type="http://schemas.openxmlformats.org/officeDocument/2006/relationships/hyperlink" Target="https://www.causeiq.com/organizations/resources-legacy-fund,954703838/" TargetMode="External"/><Relationship Id="rId16" Type="http://schemas.openxmlformats.org/officeDocument/2006/relationships/hyperlink" Target="https://www.causeiq.com/organizations/schwab-charitable-fund,311640316/" TargetMode="External"/><Relationship Id="rId29" Type="http://schemas.openxmlformats.org/officeDocument/2006/relationships/hyperlink" Target="https://www.causeiq.com/organizations/bella-vista-foundation,943345967/" TargetMode="External"/><Relationship Id="rId11" Type="http://schemas.openxmlformats.org/officeDocument/2006/relationships/hyperlink" Target="https://www.causeiq.com/organizations/lanza-family-foundation,133922706/" TargetMode="External"/><Relationship Id="rId24" Type="http://schemas.openxmlformats.org/officeDocument/2006/relationships/hyperlink" Target="https://www.causeiq.com/organizations/patricia-and-paul-bragg-foundation,843883910/" TargetMode="External"/><Relationship Id="rId32" Type="http://schemas.openxmlformats.org/officeDocument/2006/relationships/hyperlink" Target="https://www.causeiq.com/organizations/holtzman-wildlife-foundation,474054964/" TargetMode="External"/><Relationship Id="rId37" Type="http://schemas.openxmlformats.org/officeDocument/2006/relationships/hyperlink" Target="https://www.causeiq.com/organizations/american-online-giving-foundation,810739440/" TargetMode="External"/><Relationship Id="rId40" Type="http://schemas.openxmlformats.org/officeDocument/2006/relationships/hyperlink" Target="https://www.causeiq.com/organizations/fidelity-investments-charitable-gift-fund,110303001/" TargetMode="External"/><Relationship Id="rId45" Type="http://schemas.openxmlformats.org/officeDocument/2006/relationships/hyperlink" Target="https://www.causeiq.com/organizations/national-philanthropic-trust,237825575/" TargetMode="External"/><Relationship Id="rId53" Type="http://schemas.openxmlformats.org/officeDocument/2006/relationships/hyperlink" Target="https://www.causeiq.com/organizations/amazonsmile-foundation,462626883/" TargetMode="External"/><Relationship Id="rId5" Type="http://schemas.openxmlformats.org/officeDocument/2006/relationships/hyperlink" Target="https://www.causeiq.com/organizations/paypal-giving-fund,450931286/" TargetMode="External"/><Relationship Id="rId10" Type="http://schemas.openxmlformats.org/officeDocument/2006/relationships/hyperlink" Target="https://www.causeiq.com/organizations/schwab-charitable-fund,311640316/" TargetMode="External"/><Relationship Id="rId19" Type="http://schemas.openxmlformats.org/officeDocument/2006/relationships/hyperlink" Target="https://www.causeiq.com/organizations/fidelity-investments-charitable-gift-fund,110303001/" TargetMode="External"/><Relationship Id="rId31" Type="http://schemas.openxmlformats.org/officeDocument/2006/relationships/hyperlink" Target="https://www.causeiq.com/organizations/the-henry-mayo-newhall-foundation,946073084/" TargetMode="External"/><Relationship Id="rId44" Type="http://schemas.openxmlformats.org/officeDocument/2006/relationships/hyperlink" Target="https://www.causeiq.com/organizations/sierra-health-foundation-center-for-health-program,455282243/" TargetMode="External"/><Relationship Id="rId52" Type="http://schemas.openxmlformats.org/officeDocument/2006/relationships/hyperlink" Target="https://www.causeiq.com/organizations/keep-america-beautiful,131761633/" TargetMode="External"/><Relationship Id="rId4" Type="http://schemas.openxmlformats.org/officeDocument/2006/relationships/hyperlink" Target="https://www.causeiq.com/organizations/oneroot-foundation,876588450/" TargetMode="External"/><Relationship Id="rId9" Type="http://schemas.openxmlformats.org/officeDocument/2006/relationships/hyperlink" Target="https://www.causeiq.com/organizations/fidelity-investments-charitable-gift-fund,110303001/" TargetMode="External"/><Relationship Id="rId14" Type="http://schemas.openxmlformats.org/officeDocument/2006/relationships/hyperlink" Target="https://www.causeiq.com/organizations/fidelity-investments-charitable-gift-fund,110303001/" TargetMode="External"/><Relationship Id="rId22" Type="http://schemas.openxmlformats.org/officeDocument/2006/relationships/hyperlink" Target="https://www.causeiq.com/organizations/heller-foundation-of-san-diego-026626-00-06,956010314/" TargetMode="External"/><Relationship Id="rId27" Type="http://schemas.openxmlformats.org/officeDocument/2006/relationships/hyperlink" Target="https://www.causeiq.com/organizations/vanguard-charitable-endowment-program,232888152/" TargetMode="External"/><Relationship Id="rId30" Type="http://schemas.openxmlformats.org/officeDocument/2006/relationships/hyperlink" Target="https://www.causeiq.com/organizations/american-endowment-foundation,341747398/" TargetMode="External"/><Relationship Id="rId35" Type="http://schemas.openxmlformats.org/officeDocument/2006/relationships/hyperlink" Target="https://www.causeiq.com/organizations/hearst-foundations,136019226/" TargetMode="External"/><Relationship Id="rId43" Type="http://schemas.openxmlformats.org/officeDocument/2006/relationships/hyperlink" Target="https://www.causeiq.com/organizations/the-schmidt-family-foundation,204170342/" TargetMode="External"/><Relationship Id="rId48" Type="http://schemas.openxmlformats.org/officeDocument/2006/relationships/hyperlink" Target="https://www.causeiq.com/organizations/the-jake-foundation,522107509/" TargetMode="External"/><Relationship Id="rId8" Type="http://schemas.openxmlformats.org/officeDocument/2006/relationships/hyperlink" Target="https://www.causeiq.com/organizations/santa-barbara-foundation,951866094/" TargetMode="External"/><Relationship Id="rId51" Type="http://schemas.openxmlformats.org/officeDocument/2006/relationships/hyperlink" Target="https://www.causeiq.com/organizations/american-online-giving-foundation,810739440/" TargetMode="External"/><Relationship Id="rId3" Type="http://schemas.openxmlformats.org/officeDocument/2006/relationships/hyperlink" Target="https://www.causeiq.com/organizations/the-marisla-foundation,330200133/" TargetMode="External"/><Relationship Id="rId12" Type="http://schemas.openxmlformats.org/officeDocument/2006/relationships/hyperlink" Target="https://www.causeiq.com/organizations/fidelity-investments-charitable-gift-fund,110303001/" TargetMode="External"/><Relationship Id="rId17" Type="http://schemas.openxmlformats.org/officeDocument/2006/relationships/hyperlink" Target="https://www.causeiq.com/organizations/resources-legacy-fund,954703838/" TargetMode="External"/><Relationship Id="rId25" Type="http://schemas.openxmlformats.org/officeDocument/2006/relationships/hyperlink" Target="https://www.causeiq.com/organizations/schlinger-family-foundation,522390970/" TargetMode="External"/><Relationship Id="rId33" Type="http://schemas.openxmlformats.org/officeDocument/2006/relationships/hyperlink" Target="https://www.causeiq.com/organizations/fidelity-investments-charitable-gift-fund,110303001/" TargetMode="External"/><Relationship Id="rId38" Type="http://schemas.openxmlformats.org/officeDocument/2006/relationships/hyperlink" Target="https://www.causeiq.com/organizations/national-fish-and-wildlife-foundation,521384139/" TargetMode="External"/><Relationship Id="rId46" Type="http://schemas.openxmlformats.org/officeDocument/2006/relationships/hyperlink" Target="https://www.causeiq.com/organizations/the-california-endowment,954523232/" TargetMode="External"/><Relationship Id="rId20" Type="http://schemas.openxmlformats.org/officeDocument/2006/relationships/hyperlink" Target="https://www.causeiq.com/organizations/the-san-diego-foundation,952942582/" TargetMode="External"/><Relationship Id="rId41" Type="http://schemas.openxmlformats.org/officeDocument/2006/relationships/hyperlink" Target="https://www.causeiq.com/organizations/california-wellness-foundation,954292101/" TargetMode="External"/><Relationship Id="rId1" Type="http://schemas.openxmlformats.org/officeDocument/2006/relationships/hyperlink" Target="https://www.causeiq.com/organizations/dorrance-family-foundation,860691863/" TargetMode="External"/><Relationship Id="rId6" Type="http://schemas.openxmlformats.org/officeDocument/2006/relationships/hyperlink" Target="https://www.causeiq.com/organizations/schwab-charitable-fund,311640316/" TargetMode="External"/><Relationship Id="rId15" Type="http://schemas.openxmlformats.org/officeDocument/2006/relationships/hyperlink" Target="https://www.causeiq.com/organizations/the-schmidt-family-foundation,204170342/" TargetMode="External"/><Relationship Id="rId23" Type="http://schemas.openxmlformats.org/officeDocument/2006/relationships/hyperlink" Target="https://www.causeiq.com/organizations/manitou-fund,416055113/" TargetMode="External"/><Relationship Id="rId28" Type="http://schemas.openxmlformats.org/officeDocument/2006/relationships/hyperlink" Target="https://www.causeiq.com/organizations/the-builders-initiative,821503941/" TargetMode="External"/><Relationship Id="rId36" Type="http://schemas.openxmlformats.org/officeDocument/2006/relationships/hyperlink" Target="https://www.causeiq.com/organizations/william-h-donner-foundation,231611346/" TargetMode="External"/><Relationship Id="rId49" Type="http://schemas.openxmlformats.org/officeDocument/2006/relationships/hyperlink" Target="https://www.causeiq.com/organizations/pledgeling-foundation,462440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FA46-6B0E-46BD-9FD6-0AF4A6CBA442}">
  <dimension ref="A1:F37"/>
  <sheetViews>
    <sheetView workbookViewId="0">
      <selection sqref="A1:XFD1048576"/>
    </sheetView>
  </sheetViews>
  <sheetFormatPr defaultRowHeight="15"/>
  <cols>
    <col min="1" max="1" width="53.28515625" bestFit="1" customWidth="1"/>
    <col min="2" max="2" width="16.28515625" style="1" bestFit="1" customWidth="1"/>
    <col min="3" max="3" width="14.28515625" style="1" bestFit="1" customWidth="1"/>
    <col min="4" max="4" width="19.85546875" bestFit="1" customWidth="1"/>
    <col min="5" max="5" width="5.28515625" bestFit="1" customWidth="1"/>
    <col min="6" max="6" width="10.7109375" bestFit="1" customWidth="1"/>
  </cols>
  <sheetData>
    <row r="1" spans="1:6">
      <c r="A1" s="2" t="s">
        <v>0</v>
      </c>
      <c r="B1" s="3" t="s">
        <v>1</v>
      </c>
      <c r="C1" s="3" t="s">
        <v>2</v>
      </c>
      <c r="D1" s="2" t="s">
        <v>3</v>
      </c>
      <c r="E1" s="2" t="s">
        <v>4</v>
      </c>
      <c r="F1" s="2" t="s">
        <v>16</v>
      </c>
    </row>
    <row r="2" spans="1:6">
      <c r="A2" t="s">
        <v>5</v>
      </c>
      <c r="B2" s="1">
        <v>970492</v>
      </c>
      <c r="C2" s="1">
        <v>1169744</v>
      </c>
      <c r="D2" t="s">
        <v>7</v>
      </c>
      <c r="E2" t="s">
        <v>6</v>
      </c>
      <c r="F2" t="s">
        <v>101</v>
      </c>
    </row>
    <row r="3" spans="1:6">
      <c r="A3" t="s">
        <v>8</v>
      </c>
      <c r="B3" s="1">
        <v>959203</v>
      </c>
      <c r="C3" s="1">
        <v>2363056</v>
      </c>
      <c r="D3" t="s">
        <v>9</v>
      </c>
      <c r="E3" t="s">
        <v>6</v>
      </c>
      <c r="F3" t="s">
        <v>102</v>
      </c>
    </row>
    <row r="4" spans="1:6">
      <c r="A4" t="s">
        <v>10</v>
      </c>
      <c r="B4" s="1">
        <v>807187</v>
      </c>
      <c r="C4" s="1">
        <v>380266</v>
      </c>
      <c r="D4" t="s">
        <v>11</v>
      </c>
      <c r="E4" t="s">
        <v>6</v>
      </c>
      <c r="F4" t="s">
        <v>103</v>
      </c>
    </row>
    <row r="5" spans="1:6">
      <c r="A5" t="s">
        <v>12</v>
      </c>
      <c r="B5" s="1">
        <v>623680</v>
      </c>
      <c r="C5" s="1">
        <v>603117</v>
      </c>
      <c r="D5" t="s">
        <v>13</v>
      </c>
      <c r="E5" t="s">
        <v>6</v>
      </c>
      <c r="F5" t="s">
        <v>18</v>
      </c>
    </row>
    <row r="6" spans="1:6">
      <c r="A6" t="s">
        <v>14</v>
      </c>
      <c r="B6" s="1">
        <v>611638</v>
      </c>
      <c r="C6" s="1">
        <v>94462</v>
      </c>
      <c r="D6" t="s">
        <v>15</v>
      </c>
      <c r="E6" t="s">
        <v>6</v>
      </c>
      <c r="F6" t="s">
        <v>17</v>
      </c>
    </row>
    <row r="7" spans="1:6">
      <c r="A7" t="s">
        <v>19</v>
      </c>
      <c r="B7" s="1">
        <v>610308</v>
      </c>
      <c r="C7" s="1">
        <v>264317</v>
      </c>
      <c r="D7" t="s">
        <v>9</v>
      </c>
      <c r="E7" t="s">
        <v>6</v>
      </c>
      <c r="F7" t="s">
        <v>20</v>
      </c>
    </row>
    <row r="8" spans="1:6">
      <c r="A8" t="s">
        <v>21</v>
      </c>
      <c r="B8" s="1">
        <v>552280</v>
      </c>
      <c r="C8" s="1">
        <v>350356</v>
      </c>
      <c r="D8" t="s">
        <v>22</v>
      </c>
      <c r="E8" t="s">
        <v>6</v>
      </c>
      <c r="F8" t="s">
        <v>23</v>
      </c>
    </row>
    <row r="9" spans="1:6">
      <c r="A9" t="s">
        <v>24</v>
      </c>
      <c r="B9" s="1">
        <v>523158</v>
      </c>
      <c r="C9" s="1">
        <v>9122010</v>
      </c>
      <c r="D9" t="s">
        <v>26</v>
      </c>
      <c r="E9" t="s">
        <v>6</v>
      </c>
      <c r="F9" t="s">
        <v>25</v>
      </c>
    </row>
    <row r="10" spans="1:6">
      <c r="A10" t="s">
        <v>27</v>
      </c>
      <c r="B10" s="1">
        <v>478925</v>
      </c>
      <c r="C10" s="1">
        <v>3870703</v>
      </c>
      <c r="D10" t="s">
        <v>28</v>
      </c>
      <c r="E10" t="s">
        <v>6</v>
      </c>
      <c r="F10" t="s">
        <v>29</v>
      </c>
    </row>
    <row r="11" spans="1:6">
      <c r="A11" t="s">
        <v>30</v>
      </c>
      <c r="B11" s="1">
        <v>445782</v>
      </c>
      <c r="C11" s="1">
        <v>69748</v>
      </c>
      <c r="D11" t="s">
        <v>31</v>
      </c>
      <c r="E11" t="s">
        <v>6</v>
      </c>
      <c r="F11" t="s">
        <v>32</v>
      </c>
    </row>
    <row r="12" spans="1:6">
      <c r="A12" t="s">
        <v>33</v>
      </c>
      <c r="B12" s="1">
        <v>299372</v>
      </c>
      <c r="C12" s="1">
        <v>550788</v>
      </c>
      <c r="D12" t="s">
        <v>34</v>
      </c>
      <c r="E12" t="s">
        <v>6</v>
      </c>
      <c r="F12" t="s">
        <v>35</v>
      </c>
    </row>
    <row r="13" spans="1:6">
      <c r="A13" t="s">
        <v>36</v>
      </c>
      <c r="B13" s="1">
        <v>294504</v>
      </c>
      <c r="C13" s="1">
        <v>2383983</v>
      </c>
      <c r="D13" t="s">
        <v>37</v>
      </c>
      <c r="E13" t="s">
        <v>6</v>
      </c>
      <c r="F13" t="s">
        <v>38</v>
      </c>
    </row>
    <row r="14" spans="1:6">
      <c r="A14" t="s">
        <v>100</v>
      </c>
      <c r="B14" s="1">
        <v>265274</v>
      </c>
      <c r="C14" s="1">
        <v>306074</v>
      </c>
      <c r="D14" t="s">
        <v>39</v>
      </c>
      <c r="E14" t="s">
        <v>6</v>
      </c>
      <c r="F14" t="s">
        <v>40</v>
      </c>
    </row>
    <row r="15" spans="1:6">
      <c r="A15" t="s">
        <v>41</v>
      </c>
      <c r="B15" s="1">
        <v>241142</v>
      </c>
      <c r="C15" s="1">
        <v>134688</v>
      </c>
      <c r="D15" t="s">
        <v>43</v>
      </c>
      <c r="E15" t="s">
        <v>6</v>
      </c>
      <c r="F15" t="s">
        <v>42</v>
      </c>
    </row>
    <row r="16" spans="1:6">
      <c r="A16" t="s">
        <v>44</v>
      </c>
      <c r="B16" s="1">
        <v>236345</v>
      </c>
      <c r="C16" s="1">
        <v>1663156</v>
      </c>
      <c r="D16" t="s">
        <v>45</v>
      </c>
      <c r="E16" t="s">
        <v>6</v>
      </c>
      <c r="F16" t="s">
        <v>46</v>
      </c>
    </row>
    <row r="17" spans="1:6">
      <c r="A17" t="s">
        <v>47</v>
      </c>
      <c r="B17" s="1">
        <v>134671</v>
      </c>
      <c r="C17" s="1">
        <v>490040</v>
      </c>
      <c r="D17" t="s">
        <v>49</v>
      </c>
      <c r="E17" t="s">
        <v>6</v>
      </c>
      <c r="F17" t="s">
        <v>48</v>
      </c>
    </row>
    <row r="18" spans="1:6">
      <c r="A18" t="s">
        <v>50</v>
      </c>
      <c r="B18" s="1">
        <v>132799</v>
      </c>
      <c r="C18" s="1">
        <v>348789</v>
      </c>
      <c r="D18" t="s">
        <v>52</v>
      </c>
      <c r="E18" t="s">
        <v>6</v>
      </c>
      <c r="F18" t="s">
        <v>51</v>
      </c>
    </row>
    <row r="19" spans="1:6">
      <c r="A19" t="s">
        <v>53</v>
      </c>
      <c r="B19" s="1">
        <v>114478</v>
      </c>
      <c r="C19" s="1">
        <v>172836</v>
      </c>
      <c r="D19" t="s">
        <v>9</v>
      </c>
      <c r="E19" t="s">
        <v>6</v>
      </c>
      <c r="F19" t="s">
        <v>54</v>
      </c>
    </row>
    <row r="20" spans="1:6">
      <c r="A20" t="s">
        <v>55</v>
      </c>
      <c r="B20" s="1">
        <v>105191</v>
      </c>
      <c r="C20" s="1">
        <v>116706</v>
      </c>
      <c r="D20" t="s">
        <v>57</v>
      </c>
      <c r="E20" t="s">
        <v>6</v>
      </c>
      <c r="F20" t="s">
        <v>56</v>
      </c>
    </row>
    <row r="21" spans="1:6">
      <c r="A21" t="s">
        <v>58</v>
      </c>
      <c r="B21" s="1">
        <v>101808</v>
      </c>
      <c r="C21" s="1">
        <v>219195</v>
      </c>
      <c r="D21" t="s">
        <v>60</v>
      </c>
      <c r="E21" t="s">
        <v>6</v>
      </c>
      <c r="F21" t="s">
        <v>59</v>
      </c>
    </row>
    <row r="22" spans="1:6">
      <c r="A22" t="s">
        <v>61</v>
      </c>
      <c r="B22" s="1">
        <v>82636</v>
      </c>
      <c r="C22" s="1">
        <v>617080</v>
      </c>
      <c r="D22" t="s">
        <v>63</v>
      </c>
      <c r="E22" t="s">
        <v>6</v>
      </c>
      <c r="F22" t="s">
        <v>62</v>
      </c>
    </row>
    <row r="23" spans="1:6">
      <c r="A23" t="s">
        <v>64</v>
      </c>
      <c r="B23" s="1">
        <v>44071</v>
      </c>
      <c r="C23" s="1">
        <v>421068</v>
      </c>
      <c r="D23" t="s">
        <v>66</v>
      </c>
      <c r="E23" t="s">
        <v>6</v>
      </c>
      <c r="F23" t="s">
        <v>65</v>
      </c>
    </row>
    <row r="24" spans="1:6">
      <c r="A24" s="4" t="s">
        <v>67</v>
      </c>
      <c r="B24" s="5">
        <v>2942863</v>
      </c>
      <c r="C24" s="5">
        <v>703781</v>
      </c>
      <c r="D24" s="4" t="s">
        <v>68</v>
      </c>
      <c r="E24" s="4" t="s">
        <v>6</v>
      </c>
      <c r="F24" s="4" t="s">
        <v>69</v>
      </c>
    </row>
    <row r="25" spans="1:6">
      <c r="A25" s="4" t="s">
        <v>70</v>
      </c>
      <c r="B25" s="5">
        <v>2118458</v>
      </c>
      <c r="C25" s="5">
        <v>2426668</v>
      </c>
      <c r="D25" s="4" t="s">
        <v>71</v>
      </c>
      <c r="E25" s="4" t="s">
        <v>6</v>
      </c>
      <c r="F25" s="4" t="s">
        <v>72</v>
      </c>
    </row>
    <row r="26" spans="1:6">
      <c r="A26" s="4" t="s">
        <v>73</v>
      </c>
      <c r="B26" s="5">
        <v>2097188</v>
      </c>
      <c r="C26" s="5">
        <v>1309500</v>
      </c>
      <c r="D26" s="4" t="s">
        <v>9</v>
      </c>
      <c r="E26" s="4" t="s">
        <v>6</v>
      </c>
      <c r="F26" s="4" t="s">
        <v>74</v>
      </c>
    </row>
    <row r="27" spans="1:6">
      <c r="A27" s="4" t="s">
        <v>75</v>
      </c>
      <c r="B27" s="5">
        <v>1836081</v>
      </c>
      <c r="C27" s="5">
        <v>2106124</v>
      </c>
      <c r="D27" s="4" t="s">
        <v>63</v>
      </c>
      <c r="E27" s="4" t="s">
        <v>6</v>
      </c>
      <c r="F27" s="4" t="s">
        <v>76</v>
      </c>
    </row>
    <row r="28" spans="1:6">
      <c r="A28" s="4" t="s">
        <v>77</v>
      </c>
      <c r="B28" s="5">
        <v>1670660</v>
      </c>
      <c r="C28" s="5">
        <v>1441271</v>
      </c>
      <c r="D28" s="4" t="s">
        <v>52</v>
      </c>
      <c r="E28" s="4" t="s">
        <v>6</v>
      </c>
      <c r="F28" s="4" t="s">
        <v>78</v>
      </c>
    </row>
    <row r="29" spans="1:6">
      <c r="A29" s="4" t="s">
        <v>79</v>
      </c>
      <c r="B29" s="5">
        <v>1611057</v>
      </c>
      <c r="C29" s="5">
        <v>1916038</v>
      </c>
      <c r="D29" s="4" t="s">
        <v>9</v>
      </c>
      <c r="E29" s="4" t="s">
        <v>6</v>
      </c>
      <c r="F29" s="4" t="s">
        <v>80</v>
      </c>
    </row>
    <row r="30" spans="1:6">
      <c r="A30" s="4" t="s">
        <v>81</v>
      </c>
      <c r="B30" s="5">
        <v>1607577</v>
      </c>
      <c r="C30" s="5">
        <v>1422060</v>
      </c>
      <c r="D30" s="4" t="s">
        <v>68</v>
      </c>
      <c r="E30" s="4" t="s">
        <v>6</v>
      </c>
      <c r="F30" s="4" t="s">
        <v>82</v>
      </c>
    </row>
    <row r="31" spans="1:6">
      <c r="A31" s="4" t="s">
        <v>83</v>
      </c>
      <c r="B31" s="5">
        <v>1602872</v>
      </c>
      <c r="C31" s="5">
        <v>886037</v>
      </c>
      <c r="D31" s="4" t="s">
        <v>84</v>
      </c>
      <c r="E31" s="4" t="s">
        <v>6</v>
      </c>
      <c r="F31" s="4" t="s">
        <v>85</v>
      </c>
    </row>
    <row r="32" spans="1:6">
      <c r="A32" s="4" t="s">
        <v>86</v>
      </c>
      <c r="B32" s="5">
        <v>1572244</v>
      </c>
      <c r="C32" s="5">
        <v>6191148</v>
      </c>
      <c r="D32" s="4" t="s">
        <v>28</v>
      </c>
      <c r="E32" s="4" t="s">
        <v>6</v>
      </c>
      <c r="F32" s="4" t="s">
        <v>87</v>
      </c>
    </row>
    <row r="33" spans="1:6">
      <c r="A33" s="4" t="s">
        <v>88</v>
      </c>
      <c r="B33" s="5">
        <v>1288654</v>
      </c>
      <c r="C33" s="5">
        <v>419569</v>
      </c>
      <c r="D33" s="4" t="s">
        <v>90</v>
      </c>
      <c r="E33" s="4" t="s">
        <v>6</v>
      </c>
      <c r="F33" s="4" t="s">
        <v>89</v>
      </c>
    </row>
    <row r="34" spans="1:6">
      <c r="A34" s="4" t="s">
        <v>91</v>
      </c>
      <c r="B34" s="5">
        <v>1009826</v>
      </c>
      <c r="C34" s="5">
        <v>688370</v>
      </c>
      <c r="D34" s="4" t="s">
        <v>93</v>
      </c>
      <c r="E34" s="4" t="s">
        <v>6</v>
      </c>
      <c r="F34" s="4" t="s">
        <v>92</v>
      </c>
    </row>
    <row r="35" spans="1:6">
      <c r="A35" s="4" t="s">
        <v>94</v>
      </c>
      <c r="B35" s="5">
        <v>834626</v>
      </c>
      <c r="C35" s="5">
        <v>1128147</v>
      </c>
      <c r="D35" s="4" t="s">
        <v>68</v>
      </c>
      <c r="E35" s="4" t="s">
        <v>6</v>
      </c>
      <c r="F35" s="4" t="s">
        <v>95</v>
      </c>
    </row>
    <row r="36" spans="1:6">
      <c r="A36" s="4" t="s">
        <v>96</v>
      </c>
      <c r="B36" s="5">
        <v>160893</v>
      </c>
      <c r="C36" s="5">
        <v>540175</v>
      </c>
      <c r="D36" s="4" t="s">
        <v>68</v>
      </c>
      <c r="E36" s="4" t="s">
        <v>6</v>
      </c>
      <c r="F36" s="4" t="s">
        <v>97</v>
      </c>
    </row>
    <row r="37" spans="1:6">
      <c r="A37" s="4" t="s">
        <v>98</v>
      </c>
      <c r="B37" s="5">
        <v>132973</v>
      </c>
      <c r="C37" s="5">
        <v>111186</v>
      </c>
      <c r="D37" s="4" t="s">
        <v>68</v>
      </c>
      <c r="E37" s="4" t="s">
        <v>6</v>
      </c>
      <c r="F37" s="4" t="s">
        <v>99</v>
      </c>
    </row>
  </sheetData>
  <autoFilter ref="A1:F37" xr:uid="{CFB1FA46-6B0E-46BD-9FD6-0AF4A6CBA44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D974-E38A-41C5-9662-287FC440761C}">
  <dimension ref="A1"/>
  <sheetViews>
    <sheetView workbookViewId="0">
      <selection sqref="A1:XFD1048576"/>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AB0F-ABA2-49BF-88F1-C35BCA5E2CEF}">
  <dimension ref="A1:L1000"/>
  <sheetViews>
    <sheetView workbookViewId="0">
      <selection activeCell="K2" sqref="K2"/>
    </sheetView>
  </sheetViews>
  <sheetFormatPr defaultRowHeight="18.75" customHeight="1"/>
  <cols>
    <col min="1" max="1" width="53.28515625" bestFit="1" customWidth="1"/>
    <col min="2" max="2" width="16.28515625" style="1" bestFit="1" customWidth="1"/>
    <col min="3" max="3" width="14.28515625" style="1" bestFit="1" customWidth="1"/>
    <col min="4" max="4" width="19.85546875" bestFit="1" customWidth="1"/>
    <col min="5" max="5" width="5.28515625" bestFit="1" customWidth="1"/>
    <col min="6" max="6" width="10.7109375" bestFit="1" customWidth="1"/>
    <col min="11" max="11" width="11.7109375" bestFit="1" customWidth="1"/>
  </cols>
  <sheetData>
    <row r="1" spans="1:12" ht="15">
      <c r="A1" s="2" t="s">
        <v>0</v>
      </c>
      <c r="B1" s="3" t="s">
        <v>1</v>
      </c>
      <c r="C1" s="3" t="s">
        <v>2</v>
      </c>
      <c r="D1" s="2" t="s">
        <v>3</v>
      </c>
      <c r="E1" s="2" t="s">
        <v>4</v>
      </c>
      <c r="F1" s="2" t="s">
        <v>16</v>
      </c>
      <c r="G1" t="s">
        <v>104</v>
      </c>
      <c r="H1" t="s">
        <v>105</v>
      </c>
      <c r="I1" t="s">
        <v>106</v>
      </c>
      <c r="J1" t="s">
        <v>107</v>
      </c>
      <c r="K1" t="s">
        <v>108</v>
      </c>
      <c r="L1" t="s">
        <v>110</v>
      </c>
    </row>
    <row r="2" spans="1:12" ht="15">
      <c r="A2" t="s">
        <v>5</v>
      </c>
      <c r="B2" s="1">
        <v>970492</v>
      </c>
      <c r="C2" s="1">
        <v>1169744</v>
      </c>
      <c r="D2" t="s">
        <v>7</v>
      </c>
      <c r="E2" t="s">
        <v>6</v>
      </c>
      <c r="F2" t="s">
        <v>101</v>
      </c>
    </row>
    <row r="3" spans="1:12" ht="15">
      <c r="A3" t="s">
        <v>8</v>
      </c>
      <c r="B3" s="1">
        <v>959203</v>
      </c>
      <c r="C3" s="1">
        <v>2363056</v>
      </c>
      <c r="D3" t="s">
        <v>9</v>
      </c>
      <c r="E3" t="s">
        <v>6</v>
      </c>
      <c r="F3" t="s">
        <v>102</v>
      </c>
    </row>
    <row r="4" spans="1:12" ht="15">
      <c r="A4" t="s">
        <v>10</v>
      </c>
      <c r="B4" s="1">
        <v>807187</v>
      </c>
      <c r="C4" s="1">
        <v>380266</v>
      </c>
      <c r="D4" t="s">
        <v>11</v>
      </c>
      <c r="E4" t="s">
        <v>6</v>
      </c>
      <c r="F4" t="s">
        <v>103</v>
      </c>
    </row>
    <row r="5" spans="1:12" ht="15">
      <c r="A5" t="s">
        <v>12</v>
      </c>
      <c r="B5" s="1">
        <v>623680</v>
      </c>
      <c r="C5" s="1">
        <v>603117</v>
      </c>
      <c r="D5" t="s">
        <v>13</v>
      </c>
      <c r="E5" t="s">
        <v>6</v>
      </c>
      <c r="F5" t="s">
        <v>18</v>
      </c>
    </row>
    <row r="6" spans="1:12" ht="15">
      <c r="A6" t="s">
        <v>14</v>
      </c>
      <c r="B6" s="1">
        <v>611638</v>
      </c>
      <c r="C6" s="1">
        <v>94462</v>
      </c>
      <c r="D6" t="s">
        <v>15</v>
      </c>
      <c r="E6" t="s">
        <v>6</v>
      </c>
      <c r="F6" t="s">
        <v>17</v>
      </c>
    </row>
    <row r="7" spans="1:12" ht="15">
      <c r="A7" t="s">
        <v>19</v>
      </c>
      <c r="B7" s="1">
        <v>610308</v>
      </c>
      <c r="C7" s="1">
        <v>264317</v>
      </c>
      <c r="D7" t="s">
        <v>9</v>
      </c>
      <c r="E7" t="s">
        <v>6</v>
      </c>
      <c r="F7" t="s">
        <v>20</v>
      </c>
    </row>
    <row r="8" spans="1:12" ht="15">
      <c r="A8" t="s">
        <v>21</v>
      </c>
      <c r="B8" s="1">
        <v>552280</v>
      </c>
      <c r="C8" s="1">
        <v>350356</v>
      </c>
      <c r="D8" t="s">
        <v>22</v>
      </c>
      <c r="E8" t="s">
        <v>6</v>
      </c>
      <c r="F8" t="s">
        <v>23</v>
      </c>
    </row>
    <row r="9" spans="1:12" ht="15">
      <c r="A9" t="s">
        <v>24</v>
      </c>
      <c r="B9" s="1">
        <v>523158</v>
      </c>
      <c r="C9" s="1">
        <v>9122010</v>
      </c>
      <c r="D9" t="s">
        <v>26</v>
      </c>
      <c r="E9" t="s">
        <v>6</v>
      </c>
      <c r="F9" t="s">
        <v>25</v>
      </c>
    </row>
    <row r="10" spans="1:12" ht="15">
      <c r="A10" t="s">
        <v>27</v>
      </c>
      <c r="B10" s="1">
        <v>478925</v>
      </c>
      <c r="C10" s="1">
        <v>3870703</v>
      </c>
      <c r="D10" t="s">
        <v>28</v>
      </c>
      <c r="E10" t="s">
        <v>6</v>
      </c>
      <c r="F10" t="s">
        <v>29</v>
      </c>
    </row>
    <row r="11" spans="1:12" ht="15">
      <c r="A11" t="s">
        <v>30</v>
      </c>
      <c r="B11" s="1">
        <v>445782</v>
      </c>
      <c r="C11" s="1">
        <v>69748</v>
      </c>
      <c r="D11" t="s">
        <v>31</v>
      </c>
      <c r="E11" t="s">
        <v>6</v>
      </c>
      <c r="F11" t="s">
        <v>32</v>
      </c>
    </row>
    <row r="12" spans="1:12" ht="15">
      <c r="A12" t="s">
        <v>33</v>
      </c>
      <c r="B12" s="1">
        <v>299372</v>
      </c>
      <c r="C12" s="1">
        <v>550788</v>
      </c>
      <c r="D12" t="s">
        <v>34</v>
      </c>
      <c r="E12" t="s">
        <v>6</v>
      </c>
      <c r="F12" t="s">
        <v>35</v>
      </c>
    </row>
    <row r="13" spans="1:12" ht="15">
      <c r="A13" t="s">
        <v>36</v>
      </c>
      <c r="B13" s="1">
        <v>294504</v>
      </c>
      <c r="C13" s="1">
        <v>2383983</v>
      </c>
      <c r="D13" t="s">
        <v>37</v>
      </c>
      <c r="E13" t="s">
        <v>6</v>
      </c>
      <c r="F13" t="s">
        <v>38</v>
      </c>
      <c r="G13">
        <v>91000</v>
      </c>
      <c r="H13" t="s">
        <v>111</v>
      </c>
      <c r="I13">
        <v>9517</v>
      </c>
      <c r="L13">
        <v>2021</v>
      </c>
    </row>
    <row r="14" spans="1:12" ht="15">
      <c r="A14" t="s">
        <v>100</v>
      </c>
      <c r="B14" s="1">
        <v>265274</v>
      </c>
      <c r="C14" s="1">
        <v>306074</v>
      </c>
      <c r="D14" t="s">
        <v>39</v>
      </c>
      <c r="E14" t="s">
        <v>6</v>
      </c>
      <c r="F14" t="s">
        <v>40</v>
      </c>
    </row>
    <row r="15" spans="1:12" ht="15">
      <c r="A15" t="s">
        <v>41</v>
      </c>
      <c r="B15" s="1">
        <v>241142</v>
      </c>
      <c r="C15" s="1">
        <v>134688</v>
      </c>
      <c r="D15" t="s">
        <v>43</v>
      </c>
      <c r="E15" t="s">
        <v>6</v>
      </c>
      <c r="F15" t="s">
        <v>42</v>
      </c>
    </row>
    <row r="16" spans="1:12" ht="15">
      <c r="A16" t="s">
        <v>44</v>
      </c>
      <c r="B16" s="1">
        <v>236345</v>
      </c>
      <c r="C16" s="1">
        <v>1663156</v>
      </c>
      <c r="D16" t="s">
        <v>45</v>
      </c>
      <c r="E16" t="s">
        <v>6</v>
      </c>
      <c r="F16" t="s">
        <v>46</v>
      </c>
    </row>
    <row r="17" spans="1:6" ht="15">
      <c r="A17" t="s">
        <v>47</v>
      </c>
      <c r="B17" s="1">
        <v>134671</v>
      </c>
      <c r="C17" s="1">
        <v>490040</v>
      </c>
      <c r="D17" t="s">
        <v>49</v>
      </c>
      <c r="E17" t="s">
        <v>6</v>
      </c>
      <c r="F17" t="s">
        <v>48</v>
      </c>
    </row>
    <row r="18" spans="1:6" ht="15">
      <c r="A18" t="s">
        <v>50</v>
      </c>
      <c r="B18" s="1">
        <v>132799</v>
      </c>
      <c r="C18" s="1">
        <v>348789</v>
      </c>
      <c r="D18" t="s">
        <v>52</v>
      </c>
      <c r="E18" t="s">
        <v>6</v>
      </c>
      <c r="F18" t="s">
        <v>51</v>
      </c>
    </row>
    <row r="19" spans="1:6" ht="15">
      <c r="A19" t="s">
        <v>53</v>
      </c>
      <c r="B19" s="1">
        <v>114478</v>
      </c>
      <c r="C19" s="1">
        <v>172836</v>
      </c>
      <c r="D19" t="s">
        <v>9</v>
      </c>
      <c r="E19" t="s">
        <v>6</v>
      </c>
      <c r="F19" t="s">
        <v>54</v>
      </c>
    </row>
    <row r="20" spans="1:6" ht="15">
      <c r="A20" t="s">
        <v>55</v>
      </c>
      <c r="B20" s="1">
        <v>105191</v>
      </c>
      <c r="C20" s="1">
        <v>116706</v>
      </c>
      <c r="D20" t="s">
        <v>57</v>
      </c>
      <c r="E20" t="s">
        <v>6</v>
      </c>
      <c r="F20" t="s">
        <v>56</v>
      </c>
    </row>
    <row r="21" spans="1:6" ht="15">
      <c r="A21" t="s">
        <v>58</v>
      </c>
      <c r="B21" s="1">
        <v>101808</v>
      </c>
      <c r="C21" s="1">
        <v>219195</v>
      </c>
      <c r="D21" t="s">
        <v>60</v>
      </c>
      <c r="E21" t="s">
        <v>6</v>
      </c>
      <c r="F21" t="s">
        <v>59</v>
      </c>
    </row>
    <row r="22" spans="1:6" ht="15">
      <c r="A22" t="s">
        <v>61</v>
      </c>
      <c r="B22" s="1">
        <v>82636</v>
      </c>
      <c r="C22" s="1">
        <v>617080</v>
      </c>
      <c r="D22" t="s">
        <v>63</v>
      </c>
      <c r="E22" t="s">
        <v>6</v>
      </c>
      <c r="F22" t="s">
        <v>62</v>
      </c>
    </row>
    <row r="23" spans="1:6" ht="15">
      <c r="A23" t="s">
        <v>64</v>
      </c>
      <c r="B23" s="1">
        <v>44071</v>
      </c>
      <c r="C23" s="1">
        <v>421068</v>
      </c>
      <c r="D23" t="s">
        <v>66</v>
      </c>
      <c r="E23" t="s">
        <v>6</v>
      </c>
      <c r="F23" t="s">
        <v>65</v>
      </c>
    </row>
    <row r="24" spans="1:6" ht="15">
      <c r="A24" s="4" t="s">
        <v>67</v>
      </c>
      <c r="B24" s="5">
        <v>2942863</v>
      </c>
      <c r="C24" s="5">
        <v>703781</v>
      </c>
      <c r="D24" s="4" t="s">
        <v>68</v>
      </c>
      <c r="E24" s="4" t="s">
        <v>6</v>
      </c>
      <c r="F24" s="4" t="s">
        <v>69</v>
      </c>
    </row>
    <row r="25" spans="1:6" ht="15">
      <c r="A25" s="4" t="s">
        <v>70</v>
      </c>
      <c r="B25" s="5">
        <v>2118458</v>
      </c>
      <c r="C25" s="5">
        <v>2426668</v>
      </c>
      <c r="D25" s="4" t="s">
        <v>71</v>
      </c>
      <c r="E25" s="4" t="s">
        <v>6</v>
      </c>
      <c r="F25" s="4" t="s">
        <v>72</v>
      </c>
    </row>
    <row r="26" spans="1:6" ht="15">
      <c r="A26" s="4" t="s">
        <v>73</v>
      </c>
      <c r="B26" s="5">
        <v>2097188</v>
      </c>
      <c r="C26" s="5">
        <v>1309500</v>
      </c>
      <c r="D26" s="4" t="s">
        <v>9</v>
      </c>
      <c r="E26" s="4" t="s">
        <v>6</v>
      </c>
      <c r="F26" s="4" t="s">
        <v>74</v>
      </c>
    </row>
    <row r="27" spans="1:6" ht="15">
      <c r="A27" s="4" t="s">
        <v>75</v>
      </c>
      <c r="B27" s="5">
        <v>1836081</v>
      </c>
      <c r="C27" s="5">
        <v>2106124</v>
      </c>
      <c r="D27" s="4" t="s">
        <v>63</v>
      </c>
      <c r="E27" s="4" t="s">
        <v>6</v>
      </c>
      <c r="F27" s="4" t="s">
        <v>76</v>
      </c>
    </row>
    <row r="28" spans="1:6" ht="15">
      <c r="A28" s="4" t="s">
        <v>77</v>
      </c>
      <c r="B28" s="5">
        <v>1670660</v>
      </c>
      <c r="C28" s="5">
        <v>1441271</v>
      </c>
      <c r="D28" s="4" t="s">
        <v>52</v>
      </c>
      <c r="E28" s="4" t="s">
        <v>6</v>
      </c>
      <c r="F28" s="4" t="s">
        <v>78</v>
      </c>
    </row>
    <row r="29" spans="1:6" ht="15">
      <c r="A29" s="4" t="s">
        <v>79</v>
      </c>
      <c r="B29" s="5">
        <v>1611057</v>
      </c>
      <c r="C29" s="5">
        <v>1916038</v>
      </c>
      <c r="D29" s="4" t="s">
        <v>9</v>
      </c>
      <c r="E29" s="4" t="s">
        <v>6</v>
      </c>
      <c r="F29" s="4" t="s">
        <v>80</v>
      </c>
    </row>
    <row r="30" spans="1:6" ht="15">
      <c r="A30" s="4" t="s">
        <v>81</v>
      </c>
      <c r="B30" s="5">
        <v>1607577</v>
      </c>
      <c r="C30" s="5">
        <v>1422060</v>
      </c>
      <c r="D30" s="4" t="s">
        <v>68</v>
      </c>
      <c r="E30" s="4" t="s">
        <v>6</v>
      </c>
      <c r="F30" s="4" t="s">
        <v>82</v>
      </c>
    </row>
    <row r="31" spans="1:6" ht="15">
      <c r="A31" s="4" t="s">
        <v>83</v>
      </c>
      <c r="B31" s="5">
        <v>1602872</v>
      </c>
      <c r="C31" s="5">
        <v>886037</v>
      </c>
      <c r="D31" s="4" t="s">
        <v>84</v>
      </c>
      <c r="E31" s="4" t="s">
        <v>6</v>
      </c>
      <c r="F31" s="4" t="s">
        <v>85</v>
      </c>
    </row>
    <row r="32" spans="1:6" ht="15">
      <c r="A32" s="4" t="s">
        <v>86</v>
      </c>
      <c r="B32" s="5">
        <v>1572244</v>
      </c>
      <c r="C32" s="5">
        <v>6191148</v>
      </c>
      <c r="D32" s="4" t="s">
        <v>28</v>
      </c>
      <c r="E32" s="4" t="s">
        <v>6</v>
      </c>
      <c r="F32" s="4" t="s">
        <v>87</v>
      </c>
    </row>
    <row r="33" spans="1:6" ht="15">
      <c r="A33" s="4" t="s">
        <v>88</v>
      </c>
      <c r="B33" s="5">
        <v>1288654</v>
      </c>
      <c r="C33" s="5">
        <v>419569</v>
      </c>
      <c r="D33" s="4" t="s">
        <v>90</v>
      </c>
      <c r="E33" s="4" t="s">
        <v>6</v>
      </c>
      <c r="F33" s="4" t="s">
        <v>89</v>
      </c>
    </row>
    <row r="34" spans="1:6" ht="15">
      <c r="A34" s="4" t="s">
        <v>91</v>
      </c>
      <c r="B34" s="5">
        <v>1009826</v>
      </c>
      <c r="C34" s="5">
        <v>688370</v>
      </c>
      <c r="D34" s="4" t="s">
        <v>93</v>
      </c>
      <c r="E34" s="4" t="s">
        <v>6</v>
      </c>
      <c r="F34" s="4" t="s">
        <v>92</v>
      </c>
    </row>
    <row r="35" spans="1:6" ht="15">
      <c r="A35" s="4" t="s">
        <v>94</v>
      </c>
      <c r="B35" s="5">
        <v>834626</v>
      </c>
      <c r="C35" s="5">
        <v>1128147</v>
      </c>
      <c r="D35" s="4" t="s">
        <v>68</v>
      </c>
      <c r="E35" s="4" t="s">
        <v>6</v>
      </c>
      <c r="F35" s="4" t="s">
        <v>95</v>
      </c>
    </row>
    <row r="36" spans="1:6" ht="15">
      <c r="A36" s="4" t="s">
        <v>96</v>
      </c>
      <c r="B36" s="5">
        <v>160893</v>
      </c>
      <c r="C36" s="5">
        <v>540175</v>
      </c>
      <c r="D36" s="4" t="s">
        <v>68</v>
      </c>
      <c r="E36" s="4" t="s">
        <v>6</v>
      </c>
      <c r="F36" s="4" t="s">
        <v>97</v>
      </c>
    </row>
    <row r="37" spans="1:6" ht="15">
      <c r="A37" s="4" t="s">
        <v>98</v>
      </c>
      <c r="B37" s="5">
        <v>132973</v>
      </c>
      <c r="C37" s="5">
        <v>111186</v>
      </c>
      <c r="D37" s="4" t="s">
        <v>68</v>
      </c>
      <c r="E37" s="4" t="s">
        <v>6</v>
      </c>
      <c r="F37" s="4" t="s">
        <v>99</v>
      </c>
    </row>
    <row r="38" spans="1:6" ht="15"/>
    <row r="39" spans="1:6" ht="15"/>
    <row r="40" spans="1:6" ht="15"/>
    <row r="41" spans="1:6" ht="15"/>
    <row r="42" spans="1:6" ht="15"/>
    <row r="43" spans="1:6" ht="15"/>
    <row r="44" spans="1:6" ht="15"/>
    <row r="45" spans="1:6" ht="15"/>
    <row r="46" spans="1:6" ht="15"/>
    <row r="47" spans="1:6" ht="15"/>
    <row r="48" spans="1:6"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1" ht="15"/>
    <row r="892" ht="15"/>
    <row r="893" ht="15"/>
    <row r="894" ht="15"/>
    <row r="895" ht="15"/>
    <row r="896" ht="15"/>
    <row r="897" ht="15"/>
    <row r="898" ht="15"/>
    <row r="899" ht="15"/>
    <row r="900" ht="15"/>
    <row r="901" ht="15"/>
    <row r="902" ht="15"/>
    <row r="903" ht="15"/>
    <row r="904" ht="15"/>
    <row r="905" ht="15"/>
    <row r="906" ht="15"/>
    <row r="907" ht="15"/>
    <row r="908" ht="15"/>
    <row r="909" ht="15"/>
    <row r="910" ht="15"/>
    <row r="911" ht="15"/>
    <row r="912" ht="15"/>
    <row r="913" ht="15"/>
    <row r="914" ht="15"/>
    <row r="915" ht="15"/>
    <row r="916" ht="15"/>
    <row r="917" ht="15"/>
    <row r="918" ht="15"/>
    <row r="919" ht="15"/>
    <row r="920" ht="15"/>
    <row r="921" ht="15"/>
    <row r="922" ht="15"/>
    <row r="923" ht="15"/>
    <row r="924" ht="15"/>
    <row r="925" ht="15"/>
    <row r="926" ht="15"/>
    <row r="927" ht="15"/>
    <row r="928" ht="15"/>
    <row r="929" ht="15"/>
    <row r="930" ht="15"/>
    <row r="931" ht="15"/>
    <row r="932" ht="15"/>
    <row r="933" ht="15"/>
    <row r="934" ht="15"/>
    <row r="935" ht="15"/>
    <row r="936" ht="15"/>
    <row r="937" ht="15"/>
    <row r="938" ht="15"/>
    <row r="939" ht="15"/>
    <row r="940" ht="15"/>
    <row r="941" ht="15"/>
    <row r="942" ht="15"/>
    <row r="943" ht="15"/>
    <row r="944" ht="15"/>
    <row r="945" ht="15"/>
    <row r="946" ht="15"/>
    <row r="947" ht="15"/>
    <row r="948" ht="15"/>
    <row r="949" ht="15"/>
    <row r="950" ht="15"/>
    <row r="951" ht="15"/>
    <row r="952" ht="15"/>
    <row r="953" ht="15"/>
    <row r="954" ht="15"/>
    <row r="955" ht="15"/>
    <row r="956" ht="15"/>
    <row r="957" ht="15"/>
    <row r="958" ht="15"/>
    <row r="959" ht="15"/>
    <row r="960" ht="15"/>
    <row r="961" ht="15"/>
    <row r="962" ht="15"/>
    <row r="963" ht="15"/>
    <row r="964" ht="15"/>
    <row r="965" ht="15"/>
    <row r="966" ht="15"/>
    <row r="967" ht="15"/>
    <row r="968" ht="15"/>
    <row r="969" ht="15"/>
    <row r="970" ht="15"/>
    <row r="971" ht="15"/>
    <row r="972" ht="15"/>
    <row r="973" ht="15"/>
    <row r="974" ht="15"/>
    <row r="975" ht="15"/>
    <row r="976" ht="15"/>
    <row r="977" ht="15"/>
    <row r="978" ht="15"/>
    <row r="979" ht="15"/>
    <row r="980" ht="15"/>
    <row r="981" ht="15"/>
    <row r="982" ht="15"/>
    <row r="983" ht="15"/>
    <row r="984" ht="15"/>
    <row r="985" ht="15"/>
    <row r="986" ht="15"/>
    <row r="987" ht="15"/>
    <row r="988" ht="15"/>
    <row r="989" ht="15"/>
    <row r="990" ht="15"/>
    <row r="991" ht="15"/>
    <row r="992" ht="15"/>
    <row r="993" ht="15"/>
    <row r="994" ht="15"/>
    <row r="995" ht="15"/>
    <row r="996" ht="15"/>
    <row r="997" ht="15"/>
    <row r="998" ht="15"/>
    <row r="999" ht="15"/>
    <row r="1000"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E0FC-58DB-4DD7-ABC4-426468C89461}">
  <dimension ref="A1:Y130"/>
  <sheetViews>
    <sheetView workbookViewId="0">
      <selection activeCell="F23" sqref="F23"/>
    </sheetView>
  </sheetViews>
  <sheetFormatPr defaultRowHeight="15"/>
  <cols>
    <col min="1" max="1" width="53.28515625" bestFit="1" customWidth="1"/>
    <col min="2" max="2" width="10.7109375" bestFit="1" customWidth="1"/>
    <col min="3" max="3" width="10.5703125" bestFit="1" customWidth="1"/>
    <col min="4" max="4" width="13.28515625" bestFit="1" customWidth="1"/>
    <col min="6" max="6" width="23.5703125" bestFit="1" customWidth="1"/>
    <col min="7" max="7" width="13.7109375" bestFit="1" customWidth="1"/>
    <col min="8" max="8" width="24" bestFit="1" customWidth="1"/>
    <col min="9" max="9" width="23.7109375" bestFit="1" customWidth="1"/>
    <col min="10" max="10" width="16.140625" bestFit="1" customWidth="1"/>
    <col min="20" max="20" width="10.7109375" bestFit="1" customWidth="1"/>
    <col min="21" max="21" width="53.28515625" bestFit="1" customWidth="1"/>
    <col min="22" max="22" width="16.28515625" style="1" bestFit="1" customWidth="1"/>
    <col min="23" max="23" width="14.28515625" style="1" bestFit="1" customWidth="1"/>
    <col min="24" max="24" width="19.85546875" bestFit="1" customWidth="1"/>
    <col min="25" max="25" width="5.28515625" bestFit="1" customWidth="1"/>
  </cols>
  <sheetData>
    <row r="1" spans="1:25">
      <c r="A1" t="s">
        <v>0</v>
      </c>
      <c r="B1" t="s">
        <v>16</v>
      </c>
      <c r="C1" t="s">
        <v>109</v>
      </c>
      <c r="D1" t="s">
        <v>113</v>
      </c>
      <c r="E1" t="s">
        <v>117</v>
      </c>
      <c r="F1" t="s">
        <v>112</v>
      </c>
      <c r="G1" t="s">
        <v>105</v>
      </c>
      <c r="H1" t="s">
        <v>116</v>
      </c>
      <c r="I1" t="s">
        <v>115</v>
      </c>
      <c r="J1" t="s">
        <v>118</v>
      </c>
      <c r="K1" t="s">
        <v>114</v>
      </c>
      <c r="L1" t="s">
        <v>3</v>
      </c>
      <c r="M1" t="s">
        <v>4</v>
      </c>
      <c r="N1" t="s">
        <v>1</v>
      </c>
      <c r="O1" t="s">
        <v>119</v>
      </c>
      <c r="T1" s="2" t="s">
        <v>16</v>
      </c>
      <c r="U1" s="2" t="s">
        <v>0</v>
      </c>
      <c r="V1" s="3" t="s">
        <v>1</v>
      </c>
      <c r="W1" s="3" t="s">
        <v>2</v>
      </c>
      <c r="X1" s="2" t="s">
        <v>3</v>
      </c>
      <c r="Y1" s="2" t="s">
        <v>4</v>
      </c>
    </row>
    <row r="2" spans="1:25">
      <c r="A2" t="str">
        <f>VLOOKUP(B2,$T$2:$Y$37,2,FALSE)</f>
        <v>The Watershed Project</v>
      </c>
      <c r="B2" t="s">
        <v>101</v>
      </c>
      <c r="C2">
        <v>2022</v>
      </c>
      <c r="D2">
        <v>830209</v>
      </c>
      <c r="E2">
        <v>813807</v>
      </c>
      <c r="F2">
        <v>459662</v>
      </c>
      <c r="G2">
        <v>370547</v>
      </c>
      <c r="H2">
        <v>451558</v>
      </c>
      <c r="I2">
        <v>0</v>
      </c>
      <c r="J2">
        <v>318247</v>
      </c>
      <c r="K2">
        <v>0.55000000000000004</v>
      </c>
      <c r="L2" t="str">
        <f>VLOOKUP(B2,$T$2:$Y$37,5,FALSE)</f>
        <v>Richmond</v>
      </c>
      <c r="M2" t="str">
        <f>VLOOKUP(B2,$T$2:$Y$37,6,FALSE)</f>
        <v>CA</v>
      </c>
      <c r="O2">
        <f>VLOOKUP(B2,$T$2:$Y$37,3,FALSE)</f>
        <v>970492</v>
      </c>
      <c r="T2" t="s">
        <v>101</v>
      </c>
      <c r="U2" t="s">
        <v>5</v>
      </c>
      <c r="V2" s="1">
        <v>970492</v>
      </c>
      <c r="W2" s="1">
        <v>1169744</v>
      </c>
      <c r="X2" t="s">
        <v>7</v>
      </c>
      <c r="Y2" t="s">
        <v>6</v>
      </c>
    </row>
    <row r="3" spans="1:25">
      <c r="A3" t="str">
        <f t="shared" ref="A3:A66" si="0">VLOOKUP(B3,$T$2:$Y$37,2,FALSE)</f>
        <v>The Watershed Project</v>
      </c>
      <c r="B3" t="s">
        <v>101</v>
      </c>
      <c r="C3">
        <v>2021</v>
      </c>
      <c r="D3">
        <v>514750</v>
      </c>
      <c r="E3">
        <v>656805</v>
      </c>
      <c r="F3">
        <v>382453</v>
      </c>
      <c r="G3">
        <v>132297</v>
      </c>
      <c r="H3">
        <v>402741</v>
      </c>
      <c r="I3">
        <v>0</v>
      </c>
      <c r="J3">
        <v>259099</v>
      </c>
      <c r="K3">
        <v>0.74</v>
      </c>
      <c r="L3" t="str">
        <f t="shared" ref="L3:L66" si="1">VLOOKUP(B3,$T$2:$Y$37,5,FALSE)</f>
        <v>Richmond</v>
      </c>
      <c r="M3" t="str">
        <f t="shared" ref="M3:M66" si="2">VLOOKUP(B3,$T$2:$Y$37,6,FALSE)</f>
        <v>CA</v>
      </c>
      <c r="O3">
        <f t="shared" ref="O3:O66" si="3">VLOOKUP(B3,$T$2:$Y$37,3,FALSE)</f>
        <v>970492</v>
      </c>
      <c r="T3" t="s">
        <v>102</v>
      </c>
      <c r="U3" t="s">
        <v>8</v>
      </c>
      <c r="V3" s="1">
        <v>959203</v>
      </c>
      <c r="W3" s="1">
        <v>2363056</v>
      </c>
      <c r="X3" t="s">
        <v>9</v>
      </c>
      <c r="Y3" t="s">
        <v>6</v>
      </c>
    </row>
    <row r="4" spans="1:25">
      <c r="A4" t="str">
        <f t="shared" si="0"/>
        <v>The Watershed Project</v>
      </c>
      <c r="B4" t="s">
        <v>101</v>
      </c>
      <c r="C4">
        <v>2020</v>
      </c>
      <c r="D4">
        <v>648231</v>
      </c>
      <c r="E4">
        <v>716454</v>
      </c>
      <c r="F4">
        <v>442842</v>
      </c>
      <c r="G4">
        <v>205389</v>
      </c>
      <c r="H4">
        <v>296667</v>
      </c>
      <c r="I4">
        <v>86154</v>
      </c>
      <c r="J4">
        <v>240770</v>
      </c>
      <c r="K4">
        <v>0.68</v>
      </c>
      <c r="L4" t="str">
        <f t="shared" si="1"/>
        <v>Richmond</v>
      </c>
      <c r="M4" t="str">
        <f t="shared" si="2"/>
        <v>CA</v>
      </c>
      <c r="O4">
        <f t="shared" si="3"/>
        <v>970492</v>
      </c>
      <c r="T4" t="s">
        <v>103</v>
      </c>
      <c r="U4" t="s">
        <v>10</v>
      </c>
      <c r="V4" s="1">
        <v>807187</v>
      </c>
      <c r="W4" s="1">
        <v>380266</v>
      </c>
      <c r="X4" t="s">
        <v>11</v>
      </c>
      <c r="Y4" t="s">
        <v>6</v>
      </c>
    </row>
    <row r="5" spans="1:25">
      <c r="A5" t="str">
        <f t="shared" si="0"/>
        <v>The Watershed Project</v>
      </c>
      <c r="B5" t="s">
        <v>101</v>
      </c>
      <c r="C5">
        <v>2019</v>
      </c>
      <c r="D5">
        <v>772717</v>
      </c>
      <c r="E5">
        <v>824310</v>
      </c>
      <c r="F5">
        <v>412455</v>
      </c>
      <c r="G5">
        <v>360262</v>
      </c>
      <c r="H5">
        <v>297074</v>
      </c>
      <c r="I5">
        <v>84462</v>
      </c>
      <c r="J5">
        <v>257007</v>
      </c>
      <c r="K5">
        <v>0.53</v>
      </c>
      <c r="L5" t="str">
        <f t="shared" si="1"/>
        <v>Richmond</v>
      </c>
      <c r="M5" t="str">
        <f t="shared" si="2"/>
        <v>CA</v>
      </c>
      <c r="O5">
        <f t="shared" si="3"/>
        <v>970492</v>
      </c>
      <c r="T5" t="s">
        <v>18</v>
      </c>
      <c r="U5" t="s">
        <v>12</v>
      </c>
      <c r="V5" s="1">
        <v>623680</v>
      </c>
      <c r="W5" s="1">
        <v>603117</v>
      </c>
      <c r="X5" t="s">
        <v>13</v>
      </c>
      <c r="Y5" t="s">
        <v>6</v>
      </c>
    </row>
    <row r="6" spans="1:25">
      <c r="A6" t="str">
        <f t="shared" si="0"/>
        <v>San Diego Coastkeeper </v>
      </c>
      <c r="B6" t="s">
        <v>102</v>
      </c>
      <c r="C6">
        <v>2021</v>
      </c>
      <c r="D6">
        <v>1128832</v>
      </c>
      <c r="E6">
        <v>841936</v>
      </c>
      <c r="F6">
        <v>1128928</v>
      </c>
      <c r="G6">
        <v>4302</v>
      </c>
      <c r="H6">
        <v>447050</v>
      </c>
      <c r="I6">
        <v>155000</v>
      </c>
      <c r="J6">
        <v>1609104</v>
      </c>
      <c r="K6">
        <v>1</v>
      </c>
      <c r="L6" t="str">
        <f t="shared" si="1"/>
        <v>San Diego</v>
      </c>
      <c r="M6" t="str">
        <f t="shared" si="2"/>
        <v>CA</v>
      </c>
      <c r="O6">
        <f t="shared" si="3"/>
        <v>959203</v>
      </c>
      <c r="T6" t="s">
        <v>17</v>
      </c>
      <c r="U6" t="s">
        <v>14</v>
      </c>
      <c r="V6" s="1">
        <v>611638</v>
      </c>
      <c r="W6" s="1">
        <v>94462</v>
      </c>
      <c r="X6" t="s">
        <v>15</v>
      </c>
      <c r="Y6" t="s">
        <v>6</v>
      </c>
    </row>
    <row r="7" spans="1:25">
      <c r="A7" t="str">
        <f t="shared" si="0"/>
        <v>San Diego Coastkeeper </v>
      </c>
      <c r="B7" t="s">
        <v>102</v>
      </c>
      <c r="C7">
        <v>2020</v>
      </c>
      <c r="D7">
        <v>760562</v>
      </c>
      <c r="E7">
        <v>671655</v>
      </c>
      <c r="F7">
        <v>764516</v>
      </c>
      <c r="G7">
        <v>3418</v>
      </c>
      <c r="H7">
        <v>333582</v>
      </c>
      <c r="I7">
        <v>140798</v>
      </c>
      <c r="J7">
        <v>1322208</v>
      </c>
      <c r="K7">
        <v>1.01</v>
      </c>
      <c r="L7" t="str">
        <f t="shared" si="1"/>
        <v>San Diego</v>
      </c>
      <c r="M7" t="str">
        <f t="shared" si="2"/>
        <v>CA</v>
      </c>
      <c r="O7">
        <f t="shared" si="3"/>
        <v>959203</v>
      </c>
      <c r="T7" t="s">
        <v>20</v>
      </c>
      <c r="U7" t="s">
        <v>19</v>
      </c>
      <c r="V7" s="1">
        <v>610308</v>
      </c>
      <c r="W7" s="1">
        <v>264317</v>
      </c>
      <c r="X7" t="s">
        <v>9</v>
      </c>
      <c r="Y7" t="s">
        <v>6</v>
      </c>
    </row>
    <row r="8" spans="1:25">
      <c r="A8" t="str">
        <f t="shared" si="0"/>
        <v>San Diego Coastkeeper </v>
      </c>
      <c r="B8" t="s">
        <v>102</v>
      </c>
      <c r="C8">
        <v>2019</v>
      </c>
      <c r="D8">
        <v>1060137</v>
      </c>
      <c r="E8">
        <v>643719</v>
      </c>
      <c r="F8">
        <v>1004514</v>
      </c>
      <c r="G8">
        <v>2631</v>
      </c>
      <c r="H8">
        <v>281202</v>
      </c>
      <c r="I8">
        <v>115000</v>
      </c>
      <c r="J8">
        <v>1233301</v>
      </c>
      <c r="K8">
        <v>0.95</v>
      </c>
      <c r="L8" t="str">
        <f t="shared" si="1"/>
        <v>San Diego</v>
      </c>
      <c r="M8" t="str">
        <f t="shared" si="2"/>
        <v>CA</v>
      </c>
      <c r="O8">
        <f t="shared" si="3"/>
        <v>959203</v>
      </c>
      <c r="T8" t="s">
        <v>23</v>
      </c>
      <c r="U8" t="s">
        <v>21</v>
      </c>
      <c r="V8" s="1">
        <v>552280</v>
      </c>
      <c r="W8" s="1">
        <v>350356</v>
      </c>
      <c r="X8" t="s">
        <v>22</v>
      </c>
      <c r="Y8" t="s">
        <v>6</v>
      </c>
    </row>
    <row r="9" spans="1:25">
      <c r="A9" t="str">
        <f t="shared" si="0"/>
        <v>Innoceana</v>
      </c>
      <c r="B9" t="s">
        <v>103</v>
      </c>
      <c r="C9">
        <v>2022</v>
      </c>
      <c r="D9">
        <v>197770</v>
      </c>
      <c r="E9">
        <v>143277</v>
      </c>
      <c r="F9">
        <v>197517</v>
      </c>
      <c r="G9">
        <v>4598</v>
      </c>
      <c r="H9">
        <v>40214</v>
      </c>
      <c r="I9">
        <v>37649</v>
      </c>
      <c r="J9">
        <v>110252</v>
      </c>
      <c r="K9">
        <v>1</v>
      </c>
      <c r="L9" t="str">
        <f t="shared" si="1"/>
        <v>Kentfield</v>
      </c>
      <c r="M9" t="str">
        <f t="shared" si="2"/>
        <v>CA</v>
      </c>
      <c r="O9">
        <f t="shared" si="3"/>
        <v>807187</v>
      </c>
      <c r="T9" t="s">
        <v>25</v>
      </c>
      <c r="U9" t="s">
        <v>24</v>
      </c>
      <c r="V9" s="1">
        <v>523158</v>
      </c>
      <c r="W9" s="1">
        <v>9122010</v>
      </c>
      <c r="X9" t="s">
        <v>26</v>
      </c>
      <c r="Y9" t="s">
        <v>6</v>
      </c>
    </row>
    <row r="10" spans="1:25">
      <c r="A10" t="str">
        <f t="shared" si="0"/>
        <v>Innoceana</v>
      </c>
      <c r="B10" t="s">
        <v>103</v>
      </c>
      <c r="C10">
        <v>2021</v>
      </c>
      <c r="D10">
        <v>143799</v>
      </c>
      <c r="E10">
        <v>88140</v>
      </c>
      <c r="F10">
        <v>0</v>
      </c>
      <c r="G10">
        <v>0</v>
      </c>
      <c r="H10">
        <v>0</v>
      </c>
      <c r="I10">
        <v>0</v>
      </c>
      <c r="J10">
        <v>0</v>
      </c>
      <c r="K10">
        <v>0</v>
      </c>
      <c r="L10" t="str">
        <f t="shared" si="1"/>
        <v>Kentfield</v>
      </c>
      <c r="M10" t="str">
        <f t="shared" si="2"/>
        <v>CA</v>
      </c>
      <c r="O10">
        <f t="shared" si="3"/>
        <v>807187</v>
      </c>
      <c r="T10" t="s">
        <v>29</v>
      </c>
      <c r="U10" t="s">
        <v>27</v>
      </c>
      <c r="V10" s="1">
        <v>478925</v>
      </c>
      <c r="W10" s="1">
        <v>3870703</v>
      </c>
      <c r="X10" t="s">
        <v>28</v>
      </c>
      <c r="Y10" t="s">
        <v>6</v>
      </c>
    </row>
    <row r="11" spans="1:25">
      <c r="A11" t="str">
        <f t="shared" si="0"/>
        <v>Newport Beach Junior Lifeguard Foundation</v>
      </c>
      <c r="B11" t="s">
        <v>18</v>
      </c>
      <c r="C11">
        <v>2022</v>
      </c>
      <c r="D11">
        <v>1099353</v>
      </c>
      <c r="E11">
        <v>225996</v>
      </c>
      <c r="F11">
        <v>1063718</v>
      </c>
      <c r="G11">
        <v>26</v>
      </c>
      <c r="H11">
        <v>0</v>
      </c>
      <c r="I11">
        <v>0</v>
      </c>
      <c r="J11">
        <v>2431795</v>
      </c>
      <c r="K11">
        <v>0.97</v>
      </c>
      <c r="L11" t="str">
        <f t="shared" si="1"/>
        <v>Costa Mesa</v>
      </c>
      <c r="M11" t="str">
        <f t="shared" si="2"/>
        <v>CA</v>
      </c>
      <c r="O11">
        <f t="shared" si="3"/>
        <v>623680</v>
      </c>
      <c r="T11" t="s">
        <v>32</v>
      </c>
      <c r="U11" t="s">
        <v>30</v>
      </c>
      <c r="V11" s="1">
        <v>445782</v>
      </c>
      <c r="W11" s="1">
        <v>69748</v>
      </c>
      <c r="X11" t="s">
        <v>31</v>
      </c>
      <c r="Y11" t="s">
        <v>6</v>
      </c>
    </row>
    <row r="12" spans="1:25">
      <c r="A12" t="str">
        <f t="shared" si="0"/>
        <v>Newport Beach Junior Lifeguard Foundation</v>
      </c>
      <c r="B12" t="s">
        <v>18</v>
      </c>
      <c r="C12">
        <v>2021</v>
      </c>
      <c r="D12">
        <v>450015</v>
      </c>
      <c r="E12">
        <v>127188</v>
      </c>
      <c r="F12">
        <v>439858</v>
      </c>
      <c r="G12">
        <v>16</v>
      </c>
      <c r="H12">
        <v>0</v>
      </c>
      <c r="I12">
        <v>0</v>
      </c>
      <c r="J12">
        <v>1150278</v>
      </c>
      <c r="K12">
        <v>0.98</v>
      </c>
      <c r="L12" t="str">
        <f t="shared" si="1"/>
        <v>Costa Mesa</v>
      </c>
      <c r="M12" t="str">
        <f t="shared" si="2"/>
        <v>CA</v>
      </c>
      <c r="O12">
        <f t="shared" si="3"/>
        <v>623680</v>
      </c>
      <c r="T12" t="s">
        <v>35</v>
      </c>
      <c r="U12" t="s">
        <v>33</v>
      </c>
      <c r="V12" s="1">
        <v>299372</v>
      </c>
      <c r="W12" s="1">
        <v>550788</v>
      </c>
      <c r="X12" t="s">
        <v>34</v>
      </c>
      <c r="Y12" t="s">
        <v>6</v>
      </c>
    </row>
    <row r="13" spans="1:25">
      <c r="A13" t="str">
        <f t="shared" si="0"/>
        <v>Newport Beach Junior Lifeguard Foundation</v>
      </c>
      <c r="B13" t="s">
        <v>18</v>
      </c>
      <c r="C13">
        <v>2020</v>
      </c>
      <c r="D13">
        <v>106938</v>
      </c>
      <c r="E13">
        <v>52913</v>
      </c>
      <c r="F13">
        <v>91324</v>
      </c>
      <c r="G13">
        <v>29</v>
      </c>
      <c r="H13">
        <v>0</v>
      </c>
      <c r="I13">
        <v>0</v>
      </c>
      <c r="J13">
        <v>827451</v>
      </c>
      <c r="K13">
        <v>0.85</v>
      </c>
      <c r="L13" t="str">
        <f t="shared" si="1"/>
        <v>Costa Mesa</v>
      </c>
      <c r="M13" t="str">
        <f t="shared" si="2"/>
        <v>CA</v>
      </c>
      <c r="O13">
        <f t="shared" si="3"/>
        <v>623680</v>
      </c>
      <c r="T13" t="s">
        <v>38</v>
      </c>
      <c r="U13" t="s">
        <v>36</v>
      </c>
      <c r="V13" s="1">
        <v>294504</v>
      </c>
      <c r="W13" s="1">
        <v>2383983</v>
      </c>
      <c r="X13" t="s">
        <v>37</v>
      </c>
      <c r="Y13" t="s">
        <v>6</v>
      </c>
    </row>
    <row r="14" spans="1:25">
      <c r="A14" t="str">
        <f t="shared" si="0"/>
        <v>Newport Beach Junior Lifeguard Foundation</v>
      </c>
      <c r="B14" t="s">
        <v>18</v>
      </c>
      <c r="C14">
        <v>2019</v>
      </c>
      <c r="D14">
        <v>416026</v>
      </c>
      <c r="E14">
        <v>121163</v>
      </c>
      <c r="F14">
        <v>378953</v>
      </c>
      <c r="G14">
        <v>61</v>
      </c>
      <c r="H14">
        <v>0</v>
      </c>
      <c r="I14">
        <v>0</v>
      </c>
      <c r="J14">
        <v>773426</v>
      </c>
      <c r="K14">
        <v>0.91</v>
      </c>
      <c r="L14" t="str">
        <f t="shared" si="1"/>
        <v>Costa Mesa</v>
      </c>
      <c r="M14" t="str">
        <f t="shared" si="2"/>
        <v>CA</v>
      </c>
      <c r="O14">
        <f t="shared" si="3"/>
        <v>623680</v>
      </c>
      <c r="T14" t="s">
        <v>40</v>
      </c>
      <c r="U14" t="s">
        <v>100</v>
      </c>
      <c r="V14" s="1">
        <v>265274</v>
      </c>
      <c r="W14" s="1">
        <v>306074</v>
      </c>
      <c r="X14" t="s">
        <v>39</v>
      </c>
      <c r="Y14" t="s">
        <v>6</v>
      </c>
    </row>
    <row r="15" spans="1:25">
      <c r="A15" t="str">
        <f t="shared" si="0"/>
        <v>Race To Zero Waste</v>
      </c>
      <c r="B15" t="s">
        <v>17</v>
      </c>
      <c r="C15">
        <v>2022</v>
      </c>
      <c r="D15">
        <v>254868</v>
      </c>
      <c r="E15">
        <v>247402</v>
      </c>
      <c r="F15">
        <v>16725</v>
      </c>
      <c r="G15">
        <v>238143</v>
      </c>
      <c r="H15">
        <v>63001</v>
      </c>
      <c r="I15">
        <v>40290</v>
      </c>
      <c r="J15">
        <v>6332</v>
      </c>
      <c r="K15">
        <v>7.0000000000000007E-2</v>
      </c>
      <c r="L15" t="str">
        <f t="shared" si="1"/>
        <v>South San Francisco</v>
      </c>
      <c r="M15" t="str">
        <f t="shared" si="2"/>
        <v>CA</v>
      </c>
      <c r="O15">
        <f t="shared" si="3"/>
        <v>611638</v>
      </c>
      <c r="T15" t="s">
        <v>42</v>
      </c>
      <c r="U15" t="s">
        <v>41</v>
      </c>
      <c r="V15" s="1">
        <v>241142</v>
      </c>
      <c r="W15" s="1">
        <v>134688</v>
      </c>
      <c r="X15" t="s">
        <v>43</v>
      </c>
      <c r="Y15" t="s">
        <v>6</v>
      </c>
    </row>
    <row r="16" spans="1:25">
      <c r="A16" t="str">
        <f t="shared" si="0"/>
        <v>Race To Zero Waste</v>
      </c>
      <c r="B16" t="s">
        <v>17</v>
      </c>
      <c r="C16">
        <v>2021</v>
      </c>
      <c r="D16">
        <v>84657</v>
      </c>
      <c r="E16">
        <v>105652</v>
      </c>
      <c r="F16">
        <v>0</v>
      </c>
      <c r="G16">
        <v>0</v>
      </c>
      <c r="H16">
        <v>0</v>
      </c>
      <c r="I16">
        <v>0</v>
      </c>
      <c r="J16">
        <v>0</v>
      </c>
      <c r="K16">
        <v>0</v>
      </c>
      <c r="L16" t="str">
        <f t="shared" si="1"/>
        <v>South San Francisco</v>
      </c>
      <c r="M16" t="str">
        <f t="shared" si="2"/>
        <v>CA</v>
      </c>
      <c r="O16">
        <f t="shared" si="3"/>
        <v>611638</v>
      </c>
      <c r="T16" t="s">
        <v>46</v>
      </c>
      <c r="U16" t="s">
        <v>44</v>
      </c>
      <c r="V16" s="1">
        <v>236345</v>
      </c>
      <c r="W16" s="1">
        <v>1663156</v>
      </c>
      <c r="X16" t="s">
        <v>45</v>
      </c>
      <c r="Y16" t="s">
        <v>6</v>
      </c>
    </row>
    <row r="17" spans="1:25">
      <c r="A17" t="str">
        <f t="shared" si="0"/>
        <v>Race To Zero Waste</v>
      </c>
      <c r="B17" t="s">
        <v>17</v>
      </c>
      <c r="C17">
        <v>2020</v>
      </c>
      <c r="D17">
        <v>159512</v>
      </c>
      <c r="E17">
        <v>140563</v>
      </c>
      <c r="F17">
        <v>0</v>
      </c>
      <c r="G17">
        <v>0</v>
      </c>
      <c r="H17">
        <v>0</v>
      </c>
      <c r="I17">
        <v>0</v>
      </c>
      <c r="J17">
        <v>0</v>
      </c>
      <c r="K17">
        <v>0</v>
      </c>
      <c r="L17" t="str">
        <f t="shared" si="1"/>
        <v>South San Francisco</v>
      </c>
      <c r="M17" t="str">
        <f t="shared" si="2"/>
        <v>CA</v>
      </c>
      <c r="O17">
        <f t="shared" si="3"/>
        <v>611638</v>
      </c>
      <c r="T17" t="s">
        <v>48</v>
      </c>
      <c r="U17" t="s">
        <v>47</v>
      </c>
      <c r="V17" s="1">
        <v>134671</v>
      </c>
      <c r="W17" s="1">
        <v>490040</v>
      </c>
      <c r="X17" t="s">
        <v>49</v>
      </c>
      <c r="Y17" t="s">
        <v>6</v>
      </c>
    </row>
    <row r="18" spans="1:25">
      <c r="A18" t="str">
        <f t="shared" si="0"/>
        <v>Pacific Beach Community Development Corp</v>
      </c>
      <c r="B18" t="s">
        <v>20</v>
      </c>
      <c r="C18">
        <v>2022</v>
      </c>
      <c r="D18">
        <v>492123</v>
      </c>
      <c r="E18">
        <v>429865</v>
      </c>
      <c r="F18">
        <v>51545</v>
      </c>
      <c r="G18">
        <v>436673</v>
      </c>
      <c r="H18">
        <v>152768</v>
      </c>
      <c r="I18">
        <v>0</v>
      </c>
      <c r="J18">
        <v>313327</v>
      </c>
      <c r="K18">
        <v>0.1</v>
      </c>
      <c r="L18" t="str">
        <f t="shared" si="1"/>
        <v>San Diego</v>
      </c>
      <c r="M18" t="str">
        <f t="shared" si="2"/>
        <v>CA</v>
      </c>
      <c r="O18">
        <f t="shared" si="3"/>
        <v>610308</v>
      </c>
      <c r="T18" t="s">
        <v>51</v>
      </c>
      <c r="U18" t="s">
        <v>50</v>
      </c>
      <c r="V18" s="1">
        <v>132799</v>
      </c>
      <c r="W18" s="1">
        <v>348789</v>
      </c>
      <c r="X18" t="s">
        <v>52</v>
      </c>
      <c r="Y18" t="s">
        <v>6</v>
      </c>
    </row>
    <row r="19" spans="1:25">
      <c r="A19" t="str">
        <f t="shared" si="0"/>
        <v>Pacific Beach Community Development Corp</v>
      </c>
      <c r="B19" t="s">
        <v>20</v>
      </c>
      <c r="C19">
        <v>2021</v>
      </c>
      <c r="D19">
        <v>430438</v>
      </c>
      <c r="E19">
        <v>401625</v>
      </c>
      <c r="F19">
        <v>54696</v>
      </c>
      <c r="G19">
        <v>369692</v>
      </c>
      <c r="H19">
        <v>147645</v>
      </c>
      <c r="I19">
        <v>0</v>
      </c>
      <c r="J19">
        <v>251069</v>
      </c>
      <c r="K19">
        <v>0.13</v>
      </c>
      <c r="L19" t="str">
        <f t="shared" si="1"/>
        <v>San Diego</v>
      </c>
      <c r="M19" t="str">
        <f t="shared" si="2"/>
        <v>CA</v>
      </c>
      <c r="O19">
        <f t="shared" si="3"/>
        <v>610308</v>
      </c>
      <c r="T19" t="s">
        <v>54</v>
      </c>
      <c r="U19" t="s">
        <v>53</v>
      </c>
      <c r="V19" s="1">
        <v>114478</v>
      </c>
      <c r="W19" s="1">
        <v>172836</v>
      </c>
      <c r="X19" t="s">
        <v>9</v>
      </c>
      <c r="Y19" t="s">
        <v>6</v>
      </c>
    </row>
    <row r="20" spans="1:25">
      <c r="A20" t="str">
        <f t="shared" si="0"/>
        <v>Pacific Beach Community Development Corp</v>
      </c>
      <c r="B20" t="s">
        <v>20</v>
      </c>
      <c r="C20">
        <v>2020</v>
      </c>
      <c r="D20">
        <v>518153</v>
      </c>
      <c r="E20">
        <v>552805</v>
      </c>
      <c r="F20">
        <v>28991</v>
      </c>
      <c r="G20">
        <v>482562</v>
      </c>
      <c r="H20">
        <v>139422</v>
      </c>
      <c r="I20">
        <v>0</v>
      </c>
      <c r="J20">
        <v>222256</v>
      </c>
      <c r="K20">
        <v>0.06</v>
      </c>
      <c r="L20" t="str">
        <f t="shared" si="1"/>
        <v>San Diego</v>
      </c>
      <c r="M20" t="str">
        <f t="shared" si="2"/>
        <v>CA</v>
      </c>
      <c r="O20">
        <f t="shared" si="3"/>
        <v>610308</v>
      </c>
      <c r="T20" t="s">
        <v>56</v>
      </c>
      <c r="U20" t="s">
        <v>55</v>
      </c>
      <c r="V20" s="1">
        <v>105191</v>
      </c>
      <c r="W20" s="1">
        <v>116706</v>
      </c>
      <c r="X20" t="s">
        <v>57</v>
      </c>
      <c r="Y20" t="s">
        <v>6</v>
      </c>
    </row>
    <row r="21" spans="1:25">
      <c r="A21" t="str">
        <f t="shared" si="0"/>
        <v>Pacific Beach Community Development Corp</v>
      </c>
      <c r="B21" t="s">
        <v>20</v>
      </c>
      <c r="C21">
        <v>2019</v>
      </c>
      <c r="D21">
        <v>661689</v>
      </c>
      <c r="E21">
        <v>637810</v>
      </c>
      <c r="F21">
        <v>34465</v>
      </c>
      <c r="G21">
        <v>621724</v>
      </c>
      <c r="H21">
        <v>121615</v>
      </c>
      <c r="I21">
        <v>0</v>
      </c>
      <c r="J21">
        <v>256908</v>
      </c>
      <c r="K21">
        <v>0.05</v>
      </c>
      <c r="L21" t="str">
        <f t="shared" si="1"/>
        <v>San Diego</v>
      </c>
      <c r="M21" t="str">
        <f t="shared" si="2"/>
        <v>CA</v>
      </c>
      <c r="O21">
        <f t="shared" si="3"/>
        <v>610308</v>
      </c>
      <c r="T21" t="s">
        <v>59</v>
      </c>
      <c r="U21" t="s">
        <v>58</v>
      </c>
      <c r="V21" s="1">
        <v>101808</v>
      </c>
      <c r="W21" s="1">
        <v>219195</v>
      </c>
      <c r="X21" t="s">
        <v>60</v>
      </c>
      <c r="Y21" t="s">
        <v>6</v>
      </c>
    </row>
    <row r="22" spans="1:25">
      <c r="A22" t="str">
        <f t="shared" si="0"/>
        <v>Save Our Shores</v>
      </c>
      <c r="B22" t="s">
        <v>23</v>
      </c>
      <c r="C22">
        <v>2022</v>
      </c>
      <c r="D22">
        <v>565104</v>
      </c>
      <c r="E22">
        <v>460770</v>
      </c>
      <c r="F22">
        <v>449793</v>
      </c>
      <c r="G22">
        <v>117465</v>
      </c>
      <c r="H22">
        <v>203147</v>
      </c>
      <c r="I22">
        <v>111538</v>
      </c>
      <c r="J22">
        <v>368858</v>
      </c>
      <c r="K22">
        <v>0.8</v>
      </c>
      <c r="L22" t="str">
        <f t="shared" si="1"/>
        <v>Santa Cruz</v>
      </c>
      <c r="M22" t="str">
        <f t="shared" si="2"/>
        <v>CA</v>
      </c>
      <c r="O22">
        <f t="shared" si="3"/>
        <v>552280</v>
      </c>
      <c r="T22" t="s">
        <v>62</v>
      </c>
      <c r="U22" t="s">
        <v>61</v>
      </c>
      <c r="V22" s="1">
        <v>82636</v>
      </c>
      <c r="W22" s="1">
        <v>617080</v>
      </c>
      <c r="X22" t="s">
        <v>63</v>
      </c>
      <c r="Y22" t="s">
        <v>6</v>
      </c>
    </row>
    <row r="23" spans="1:25">
      <c r="A23" t="str">
        <f t="shared" si="0"/>
        <v>Save Our Shores</v>
      </c>
      <c r="B23" t="s">
        <v>23</v>
      </c>
      <c r="C23">
        <v>2021</v>
      </c>
      <c r="D23">
        <v>558453</v>
      </c>
      <c r="E23">
        <v>507769</v>
      </c>
      <c r="F23">
        <v>501331</v>
      </c>
      <c r="G23">
        <v>57122</v>
      </c>
      <c r="H23">
        <v>175926</v>
      </c>
      <c r="I23">
        <v>115534</v>
      </c>
      <c r="J23">
        <v>274602</v>
      </c>
      <c r="K23">
        <v>0.9</v>
      </c>
      <c r="L23" t="str">
        <f t="shared" si="1"/>
        <v>Santa Cruz</v>
      </c>
      <c r="M23" t="str">
        <f t="shared" si="2"/>
        <v>CA</v>
      </c>
      <c r="O23">
        <f t="shared" si="3"/>
        <v>552280</v>
      </c>
      <c r="T23" t="s">
        <v>65</v>
      </c>
      <c r="U23" t="s">
        <v>64</v>
      </c>
      <c r="V23" s="1">
        <v>44071</v>
      </c>
      <c r="W23" s="1">
        <v>421068</v>
      </c>
      <c r="X23" t="s">
        <v>66</v>
      </c>
      <c r="Y23" t="s">
        <v>6</v>
      </c>
    </row>
    <row r="24" spans="1:25">
      <c r="A24" t="str">
        <f t="shared" si="0"/>
        <v>Save Our Shores</v>
      </c>
      <c r="B24" t="s">
        <v>23</v>
      </c>
      <c r="C24">
        <v>2020</v>
      </c>
      <c r="D24">
        <v>445788</v>
      </c>
      <c r="E24">
        <v>456266</v>
      </c>
      <c r="F24">
        <v>371488</v>
      </c>
      <c r="G24">
        <v>74300</v>
      </c>
      <c r="H24">
        <v>121971</v>
      </c>
      <c r="I24">
        <v>122566</v>
      </c>
      <c r="J24">
        <v>214688</v>
      </c>
      <c r="K24">
        <v>0.83</v>
      </c>
      <c r="L24" t="str">
        <f t="shared" si="1"/>
        <v>Santa Cruz</v>
      </c>
      <c r="M24" t="str">
        <f t="shared" si="2"/>
        <v>CA</v>
      </c>
      <c r="O24">
        <f t="shared" si="3"/>
        <v>552280</v>
      </c>
      <c r="T24" s="4" t="s">
        <v>69</v>
      </c>
      <c r="U24" s="4" t="s">
        <v>67</v>
      </c>
      <c r="V24" s="5">
        <v>2942863</v>
      </c>
      <c r="W24" s="5">
        <v>703781</v>
      </c>
      <c r="X24" s="4" t="s">
        <v>68</v>
      </c>
      <c r="Y24" s="4" t="s">
        <v>6</v>
      </c>
    </row>
    <row r="25" spans="1:25">
      <c r="A25" t="str">
        <f t="shared" si="0"/>
        <v>Save Our Shores</v>
      </c>
      <c r="B25" t="s">
        <v>23</v>
      </c>
      <c r="C25">
        <v>2019</v>
      </c>
      <c r="D25">
        <v>534101</v>
      </c>
      <c r="E25">
        <v>576229</v>
      </c>
      <c r="F25">
        <v>436928</v>
      </c>
      <c r="G25">
        <v>98458</v>
      </c>
      <c r="H25">
        <v>218841</v>
      </c>
      <c r="I25">
        <v>104508</v>
      </c>
      <c r="J25">
        <v>219068</v>
      </c>
      <c r="K25">
        <v>0.82</v>
      </c>
      <c r="L25" t="str">
        <f t="shared" si="1"/>
        <v>Santa Cruz</v>
      </c>
      <c r="M25" t="str">
        <f t="shared" si="2"/>
        <v>CA</v>
      </c>
      <c r="O25">
        <f t="shared" si="3"/>
        <v>552280</v>
      </c>
      <c r="T25" s="4" t="s">
        <v>72</v>
      </c>
      <c r="U25" s="4" t="s">
        <v>70</v>
      </c>
      <c r="V25" s="5">
        <v>2118458</v>
      </c>
      <c r="W25" s="5">
        <v>2426668</v>
      </c>
      <c r="X25" s="4" t="s">
        <v>71</v>
      </c>
      <c r="Y25" s="4" t="s">
        <v>6</v>
      </c>
    </row>
    <row r="26" spans="1:25">
      <c r="A26" t="str">
        <f t="shared" si="0"/>
        <v>Huntington Beach Wetlands Conservancy</v>
      </c>
      <c r="B26" t="s">
        <v>25</v>
      </c>
      <c r="C26">
        <v>2022</v>
      </c>
      <c r="D26">
        <v>452975</v>
      </c>
      <c r="E26">
        <v>559386</v>
      </c>
      <c r="F26">
        <v>379601</v>
      </c>
      <c r="G26">
        <v>37121</v>
      </c>
      <c r="H26">
        <v>96400</v>
      </c>
      <c r="I26">
        <v>0</v>
      </c>
      <c r="J26">
        <v>9093779</v>
      </c>
      <c r="K26">
        <v>0.84</v>
      </c>
      <c r="L26" t="str">
        <f t="shared" si="1"/>
        <v>Huntington Beach</v>
      </c>
      <c r="M26" t="str">
        <f t="shared" si="2"/>
        <v>CA</v>
      </c>
      <c r="O26">
        <f t="shared" si="3"/>
        <v>523158</v>
      </c>
      <c r="T26" s="4" t="s">
        <v>74</v>
      </c>
      <c r="U26" s="4" t="s">
        <v>73</v>
      </c>
      <c r="V26" s="5">
        <v>2097188</v>
      </c>
      <c r="W26" s="5">
        <v>1309500</v>
      </c>
      <c r="X26" s="4" t="s">
        <v>9</v>
      </c>
      <c r="Y26" s="4" t="s">
        <v>6</v>
      </c>
    </row>
    <row r="27" spans="1:25">
      <c r="A27" t="str">
        <f t="shared" si="0"/>
        <v>Huntington Beach Wetlands Conservancy</v>
      </c>
      <c r="B27" t="s">
        <v>25</v>
      </c>
      <c r="C27">
        <v>2021</v>
      </c>
      <c r="D27">
        <v>3032805</v>
      </c>
      <c r="E27">
        <v>631850</v>
      </c>
      <c r="F27">
        <v>2972399</v>
      </c>
      <c r="G27">
        <v>27715</v>
      </c>
      <c r="H27">
        <v>77600</v>
      </c>
      <c r="I27">
        <v>0</v>
      </c>
      <c r="J27">
        <v>9277470</v>
      </c>
      <c r="K27">
        <v>0.98</v>
      </c>
      <c r="L27" t="str">
        <f t="shared" si="1"/>
        <v>Huntington Beach</v>
      </c>
      <c r="M27" t="str">
        <f t="shared" si="2"/>
        <v>CA</v>
      </c>
      <c r="O27">
        <f t="shared" si="3"/>
        <v>523158</v>
      </c>
      <c r="T27" s="4" t="s">
        <v>76</v>
      </c>
      <c r="U27" s="4" t="s">
        <v>75</v>
      </c>
      <c r="V27" s="5">
        <v>1836081</v>
      </c>
      <c r="W27" s="5">
        <v>2106124</v>
      </c>
      <c r="X27" s="4" t="s">
        <v>63</v>
      </c>
      <c r="Y27" s="4" t="s">
        <v>6</v>
      </c>
    </row>
    <row r="28" spans="1:25">
      <c r="A28" t="str">
        <f t="shared" si="0"/>
        <v>Huntington Beach Wetlands Conservancy</v>
      </c>
      <c r="B28" t="s">
        <v>25</v>
      </c>
      <c r="C28">
        <v>2020</v>
      </c>
      <c r="D28">
        <v>468401</v>
      </c>
      <c r="E28">
        <v>541675</v>
      </c>
      <c r="F28">
        <v>389185</v>
      </c>
      <c r="G28">
        <v>41095</v>
      </c>
      <c r="H28">
        <v>75024</v>
      </c>
      <c r="I28">
        <v>20000</v>
      </c>
      <c r="J28">
        <v>6885973</v>
      </c>
      <c r="K28">
        <v>0.83</v>
      </c>
      <c r="L28" t="str">
        <f t="shared" si="1"/>
        <v>Huntington Beach</v>
      </c>
      <c r="M28" t="str">
        <f t="shared" si="2"/>
        <v>CA</v>
      </c>
      <c r="O28">
        <f t="shared" si="3"/>
        <v>523158</v>
      </c>
      <c r="T28" s="4" t="s">
        <v>78</v>
      </c>
      <c r="U28" s="4" t="s">
        <v>77</v>
      </c>
      <c r="V28" s="5">
        <v>1670660</v>
      </c>
      <c r="W28" s="5">
        <v>1441271</v>
      </c>
      <c r="X28" s="4" t="s">
        <v>52</v>
      </c>
      <c r="Y28" s="4" t="s">
        <v>6</v>
      </c>
    </row>
    <row r="29" spans="1:25">
      <c r="A29" t="str">
        <f t="shared" si="0"/>
        <v>Huntington Beach Wetlands Conservancy</v>
      </c>
      <c r="B29" t="s">
        <v>25</v>
      </c>
      <c r="C29">
        <v>2019</v>
      </c>
      <c r="D29">
        <v>477795</v>
      </c>
      <c r="E29">
        <v>381088</v>
      </c>
      <c r="F29">
        <v>395211</v>
      </c>
      <c r="G29">
        <v>44303</v>
      </c>
      <c r="H29">
        <v>65520</v>
      </c>
      <c r="I29">
        <v>17000</v>
      </c>
      <c r="J29">
        <v>6957810</v>
      </c>
      <c r="K29">
        <v>0.83</v>
      </c>
      <c r="L29" t="str">
        <f t="shared" si="1"/>
        <v>Huntington Beach</v>
      </c>
      <c r="M29" t="str">
        <f t="shared" si="2"/>
        <v>CA</v>
      </c>
      <c r="O29">
        <f t="shared" si="3"/>
        <v>523158</v>
      </c>
      <c r="T29" s="4" t="s">
        <v>80</v>
      </c>
      <c r="U29" s="4" t="s">
        <v>79</v>
      </c>
      <c r="V29" s="5">
        <v>1611057</v>
      </c>
      <c r="W29" s="5">
        <v>1916038</v>
      </c>
      <c r="X29" s="4" t="s">
        <v>9</v>
      </c>
      <c r="Y29" s="4" t="s">
        <v>6</v>
      </c>
    </row>
    <row r="30" spans="1:25">
      <c r="A30" t="str">
        <f t="shared" si="0"/>
        <v>OCEAN VOYAGES INSTITUTE</v>
      </c>
      <c r="B30" t="s">
        <v>29</v>
      </c>
      <c r="C30">
        <v>2022</v>
      </c>
      <c r="D30">
        <v>770667</v>
      </c>
      <c r="E30">
        <v>483329</v>
      </c>
      <c r="F30">
        <v>770552</v>
      </c>
      <c r="G30">
        <v>115</v>
      </c>
      <c r="H30">
        <v>0</v>
      </c>
      <c r="I30">
        <v>0</v>
      </c>
      <c r="J30">
        <v>3383373</v>
      </c>
      <c r="K30">
        <v>1</v>
      </c>
      <c r="L30" t="str">
        <f t="shared" si="1"/>
        <v>Sausalito</v>
      </c>
      <c r="M30" t="str">
        <f t="shared" si="2"/>
        <v>CA</v>
      </c>
      <c r="O30">
        <f t="shared" si="3"/>
        <v>478925</v>
      </c>
      <c r="T30" s="4" t="s">
        <v>82</v>
      </c>
      <c r="U30" s="4" t="s">
        <v>81</v>
      </c>
      <c r="V30" s="5">
        <v>1607577</v>
      </c>
      <c r="W30" s="5">
        <v>1422060</v>
      </c>
      <c r="X30" s="4" t="s">
        <v>68</v>
      </c>
      <c r="Y30" s="4" t="s">
        <v>6</v>
      </c>
    </row>
    <row r="31" spans="1:25">
      <c r="A31" t="str">
        <f t="shared" si="0"/>
        <v>OCEAN VOYAGES INSTITUTE</v>
      </c>
      <c r="B31" t="s">
        <v>29</v>
      </c>
      <c r="C31">
        <v>2021</v>
      </c>
      <c r="D31">
        <v>2118446</v>
      </c>
      <c r="E31">
        <v>405017</v>
      </c>
      <c r="F31">
        <v>2118551</v>
      </c>
      <c r="G31">
        <v>110</v>
      </c>
      <c r="H31">
        <v>0</v>
      </c>
      <c r="I31">
        <v>0</v>
      </c>
      <c r="J31">
        <v>3394149</v>
      </c>
      <c r="K31">
        <v>1</v>
      </c>
      <c r="L31" t="str">
        <f t="shared" si="1"/>
        <v>Sausalito</v>
      </c>
      <c r="M31" t="str">
        <f t="shared" si="2"/>
        <v>CA</v>
      </c>
      <c r="O31">
        <f t="shared" si="3"/>
        <v>478925</v>
      </c>
      <c r="T31" s="4" t="s">
        <v>85</v>
      </c>
      <c r="U31" s="4" t="s">
        <v>83</v>
      </c>
      <c r="V31" s="5">
        <v>1602872</v>
      </c>
      <c r="W31" s="5">
        <v>886037</v>
      </c>
      <c r="X31" s="4" t="s">
        <v>84</v>
      </c>
      <c r="Y31" s="4" t="s">
        <v>6</v>
      </c>
    </row>
    <row r="32" spans="1:25">
      <c r="A32" t="str">
        <f t="shared" si="0"/>
        <v>OCEAN VOYAGES INSTITUTE</v>
      </c>
      <c r="B32" t="s">
        <v>29</v>
      </c>
      <c r="C32">
        <v>2020</v>
      </c>
      <c r="D32">
        <v>538418</v>
      </c>
      <c r="E32">
        <v>298419</v>
      </c>
      <c r="F32">
        <v>538696</v>
      </c>
      <c r="G32">
        <v>139</v>
      </c>
      <c r="H32">
        <v>0</v>
      </c>
      <c r="I32">
        <v>0</v>
      </c>
      <c r="J32">
        <v>1680720</v>
      </c>
      <c r="K32">
        <v>1</v>
      </c>
      <c r="L32" t="str">
        <f t="shared" si="1"/>
        <v>Sausalito</v>
      </c>
      <c r="M32" t="str">
        <f t="shared" si="2"/>
        <v>CA</v>
      </c>
      <c r="O32">
        <f t="shared" si="3"/>
        <v>478925</v>
      </c>
      <c r="T32" s="4" t="s">
        <v>87</v>
      </c>
      <c r="U32" s="4" t="s">
        <v>86</v>
      </c>
      <c r="V32" s="5">
        <v>1572244</v>
      </c>
      <c r="W32" s="5">
        <v>6191148</v>
      </c>
      <c r="X32" s="4" t="s">
        <v>28</v>
      </c>
      <c r="Y32" s="4" t="s">
        <v>6</v>
      </c>
    </row>
    <row r="33" spans="1:25">
      <c r="A33" t="str">
        <f t="shared" si="0"/>
        <v>OCEAN VOYAGES INSTITUTE</v>
      </c>
      <c r="B33" t="s">
        <v>29</v>
      </c>
      <c r="C33">
        <v>2019</v>
      </c>
      <c r="D33">
        <v>459679</v>
      </c>
      <c r="E33">
        <v>331292</v>
      </c>
      <c r="F33">
        <v>459565</v>
      </c>
      <c r="G33">
        <v>114</v>
      </c>
      <c r="H33">
        <v>0</v>
      </c>
      <c r="I33">
        <v>0</v>
      </c>
      <c r="J33">
        <v>1440721</v>
      </c>
      <c r="K33">
        <v>1</v>
      </c>
      <c r="L33" t="str">
        <f t="shared" si="1"/>
        <v>Sausalito</v>
      </c>
      <c r="M33" t="str">
        <f t="shared" si="2"/>
        <v>CA</v>
      </c>
      <c r="O33">
        <f t="shared" si="3"/>
        <v>478925</v>
      </c>
      <c r="T33" s="4" t="s">
        <v>89</v>
      </c>
      <c r="U33" s="4" t="s">
        <v>88</v>
      </c>
      <c r="V33" s="5">
        <v>1288654</v>
      </c>
      <c r="W33" s="5">
        <v>419569</v>
      </c>
      <c r="X33" s="4" t="s">
        <v>90</v>
      </c>
      <c r="Y33" s="4" t="s">
        <v>6</v>
      </c>
    </row>
    <row r="34" spans="1:25">
      <c r="A34" t="str">
        <f t="shared" si="0"/>
        <v>LAWRENCE ANTHONY EARTH ORGANIZATION (LAEO)</v>
      </c>
      <c r="B34" t="s">
        <v>32</v>
      </c>
      <c r="C34">
        <v>2022</v>
      </c>
      <c r="D34">
        <v>622914</v>
      </c>
      <c r="E34">
        <v>533596</v>
      </c>
      <c r="F34">
        <v>197198</v>
      </c>
      <c r="G34">
        <v>426716</v>
      </c>
      <c r="H34">
        <v>145374</v>
      </c>
      <c r="I34">
        <v>100800</v>
      </c>
      <c r="J34">
        <v>-26198</v>
      </c>
      <c r="K34">
        <v>0.32</v>
      </c>
      <c r="L34" t="str">
        <f t="shared" si="1"/>
        <v>Pine Mountain Club</v>
      </c>
      <c r="M34" t="str">
        <f t="shared" si="2"/>
        <v>CA</v>
      </c>
      <c r="O34">
        <f t="shared" si="3"/>
        <v>445782</v>
      </c>
      <c r="T34" s="4" t="s">
        <v>92</v>
      </c>
      <c r="U34" s="4" t="s">
        <v>91</v>
      </c>
      <c r="V34" s="5">
        <v>1009826</v>
      </c>
      <c r="W34" s="5">
        <v>688370</v>
      </c>
      <c r="X34" s="4" t="s">
        <v>93</v>
      </c>
      <c r="Y34" s="4" t="s">
        <v>6</v>
      </c>
    </row>
    <row r="35" spans="1:25">
      <c r="A35" t="str">
        <f t="shared" si="0"/>
        <v>LAWRENCE ANTHONY EARTH ORGANIZATION (LAEO)</v>
      </c>
      <c r="B35" t="s">
        <v>32</v>
      </c>
      <c r="C35">
        <v>2021</v>
      </c>
      <c r="D35">
        <v>327148</v>
      </c>
      <c r="E35">
        <v>398244</v>
      </c>
      <c r="F35">
        <v>267345</v>
      </c>
      <c r="G35">
        <v>59803</v>
      </c>
      <c r="H35">
        <v>253104</v>
      </c>
      <c r="I35">
        <v>0</v>
      </c>
      <c r="J35">
        <v>-115516</v>
      </c>
      <c r="K35">
        <v>0.82</v>
      </c>
      <c r="L35" t="str">
        <f t="shared" si="1"/>
        <v>Pine Mountain Club</v>
      </c>
      <c r="M35" t="str">
        <f t="shared" si="2"/>
        <v>CA</v>
      </c>
      <c r="O35">
        <f t="shared" si="3"/>
        <v>445782</v>
      </c>
      <c r="T35" s="4" t="s">
        <v>95</v>
      </c>
      <c r="U35" s="4" t="s">
        <v>94</v>
      </c>
      <c r="V35" s="5">
        <v>834626</v>
      </c>
      <c r="W35" s="5">
        <v>1128147</v>
      </c>
      <c r="X35" s="4" t="s">
        <v>68</v>
      </c>
      <c r="Y35" s="4" t="s">
        <v>6</v>
      </c>
    </row>
    <row r="36" spans="1:25">
      <c r="A36" t="str">
        <f t="shared" si="0"/>
        <v>LAWRENCE ANTHONY EARTH ORGANIZATION (LAEO)</v>
      </c>
      <c r="B36" t="s">
        <v>32</v>
      </c>
      <c r="C36">
        <v>2020</v>
      </c>
      <c r="D36">
        <v>436790</v>
      </c>
      <c r="E36">
        <v>497633</v>
      </c>
      <c r="F36">
        <v>68969</v>
      </c>
      <c r="G36">
        <v>84488</v>
      </c>
      <c r="H36">
        <v>217469</v>
      </c>
      <c r="I36">
        <v>57200</v>
      </c>
      <c r="J36">
        <v>-44420</v>
      </c>
      <c r="K36">
        <v>0.16</v>
      </c>
      <c r="L36" t="str">
        <f t="shared" si="1"/>
        <v>Pine Mountain Club</v>
      </c>
      <c r="M36" t="str">
        <f t="shared" si="2"/>
        <v>CA</v>
      </c>
      <c r="O36">
        <f t="shared" si="3"/>
        <v>445782</v>
      </c>
      <c r="T36" s="4" t="s">
        <v>97</v>
      </c>
      <c r="U36" s="4" t="s">
        <v>96</v>
      </c>
      <c r="V36" s="5">
        <v>160893</v>
      </c>
      <c r="W36" s="5">
        <v>540175</v>
      </c>
      <c r="X36" s="4" t="s">
        <v>68</v>
      </c>
      <c r="Y36" s="4" t="s">
        <v>6</v>
      </c>
    </row>
    <row r="37" spans="1:25">
      <c r="A37" t="str">
        <f t="shared" si="0"/>
        <v>LAWRENCE ANTHONY EARTH ORGANIZATION (LAEO)</v>
      </c>
      <c r="B37" t="s">
        <v>32</v>
      </c>
      <c r="C37">
        <v>2019</v>
      </c>
      <c r="D37">
        <v>505242</v>
      </c>
      <c r="E37">
        <v>563945</v>
      </c>
      <c r="F37">
        <v>102163</v>
      </c>
      <c r="G37">
        <v>403055</v>
      </c>
      <c r="H37">
        <v>145522</v>
      </c>
      <c r="I37">
        <v>53018</v>
      </c>
      <c r="J37">
        <v>16423</v>
      </c>
      <c r="K37">
        <v>0.2</v>
      </c>
      <c r="L37" t="str">
        <f t="shared" si="1"/>
        <v>Pine Mountain Club</v>
      </c>
      <c r="M37" t="str">
        <f t="shared" si="2"/>
        <v>CA</v>
      </c>
      <c r="O37">
        <f t="shared" si="3"/>
        <v>445782</v>
      </c>
      <c r="T37" s="4" t="s">
        <v>99</v>
      </c>
      <c r="U37" s="4" t="s">
        <v>98</v>
      </c>
      <c r="V37" s="5">
        <v>132973</v>
      </c>
      <c r="W37" s="5">
        <v>111186</v>
      </c>
      <c r="X37" s="4" t="s">
        <v>68</v>
      </c>
      <c r="Y37" s="4" t="s">
        <v>6</v>
      </c>
    </row>
    <row r="38" spans="1:25">
      <c r="A38" t="str">
        <f t="shared" si="0"/>
        <v>WSL PURE</v>
      </c>
      <c r="B38" t="s">
        <v>35</v>
      </c>
      <c r="C38">
        <v>2022</v>
      </c>
      <c r="D38">
        <v>135164</v>
      </c>
      <c r="E38">
        <v>336476</v>
      </c>
      <c r="F38">
        <v>135164</v>
      </c>
      <c r="G38">
        <v>0</v>
      </c>
      <c r="H38">
        <v>60129</v>
      </c>
      <c r="I38">
        <v>0</v>
      </c>
      <c r="J38">
        <v>532387</v>
      </c>
      <c r="K38">
        <v>1</v>
      </c>
      <c r="L38" t="str">
        <f t="shared" si="1"/>
        <v>Santa Monica</v>
      </c>
      <c r="M38" t="str">
        <f t="shared" si="2"/>
        <v>CA</v>
      </c>
      <c r="O38">
        <f t="shared" si="3"/>
        <v>299372</v>
      </c>
    </row>
    <row r="39" spans="1:25">
      <c r="A39" t="str">
        <f t="shared" si="0"/>
        <v>WSL PURE</v>
      </c>
      <c r="B39" t="s">
        <v>35</v>
      </c>
      <c r="C39">
        <v>2021</v>
      </c>
      <c r="D39">
        <v>1675014</v>
      </c>
      <c r="E39">
        <v>332572</v>
      </c>
      <c r="F39">
        <v>1675014</v>
      </c>
      <c r="G39">
        <v>0</v>
      </c>
      <c r="H39">
        <v>55095</v>
      </c>
      <c r="I39">
        <v>0</v>
      </c>
      <c r="J39">
        <v>733699</v>
      </c>
      <c r="K39">
        <v>1</v>
      </c>
      <c r="L39" t="str">
        <f t="shared" si="1"/>
        <v>Santa Monica</v>
      </c>
      <c r="M39" t="str">
        <f t="shared" si="2"/>
        <v>CA</v>
      </c>
      <c r="O39">
        <f t="shared" si="3"/>
        <v>299372</v>
      </c>
    </row>
    <row r="40" spans="1:25">
      <c r="A40" t="str">
        <f t="shared" si="0"/>
        <v>WSL PURE</v>
      </c>
      <c r="B40" t="s">
        <v>35</v>
      </c>
      <c r="C40">
        <v>2020</v>
      </c>
      <c r="D40">
        <v>153092</v>
      </c>
      <c r="E40">
        <v>54942</v>
      </c>
      <c r="F40">
        <v>153092</v>
      </c>
      <c r="G40">
        <v>0</v>
      </c>
      <c r="H40">
        <v>44013</v>
      </c>
      <c r="I40">
        <v>0</v>
      </c>
      <c r="J40">
        <v>-608743</v>
      </c>
      <c r="K40">
        <v>1</v>
      </c>
      <c r="L40" t="str">
        <f t="shared" si="1"/>
        <v>Santa Monica</v>
      </c>
      <c r="M40" t="str">
        <f t="shared" si="2"/>
        <v>CA</v>
      </c>
      <c r="O40">
        <f t="shared" si="3"/>
        <v>299372</v>
      </c>
    </row>
    <row r="41" spans="1:25">
      <c r="A41" t="str">
        <f t="shared" si="0"/>
        <v>WSL PURE</v>
      </c>
      <c r="B41" t="s">
        <v>35</v>
      </c>
      <c r="C41">
        <v>2019</v>
      </c>
      <c r="D41">
        <v>139476</v>
      </c>
      <c r="E41">
        <v>43092</v>
      </c>
      <c r="F41">
        <v>139476</v>
      </c>
      <c r="G41">
        <v>0</v>
      </c>
      <c r="H41">
        <v>0</v>
      </c>
      <c r="I41">
        <v>0</v>
      </c>
      <c r="J41">
        <v>-706460</v>
      </c>
      <c r="K41">
        <v>1</v>
      </c>
      <c r="L41" t="str">
        <f t="shared" si="1"/>
        <v>Santa Monica</v>
      </c>
      <c r="M41" t="str">
        <f t="shared" si="2"/>
        <v>CA</v>
      </c>
      <c r="O41">
        <f t="shared" si="3"/>
        <v>299372</v>
      </c>
    </row>
    <row r="42" spans="1:25">
      <c r="A42" t="str">
        <f t="shared" si="0"/>
        <v>Tahoe Keys Beach and Harbor Association Inc</v>
      </c>
      <c r="B42" t="s">
        <v>38</v>
      </c>
      <c r="C42">
        <v>2022</v>
      </c>
      <c r="D42">
        <v>294504</v>
      </c>
      <c r="E42">
        <v>557891</v>
      </c>
      <c r="F42">
        <v>272581</v>
      </c>
      <c r="G42">
        <v>21923</v>
      </c>
      <c r="H42">
        <v>0</v>
      </c>
      <c r="I42">
        <v>0</v>
      </c>
      <c r="J42">
        <v>1873840</v>
      </c>
      <c r="K42">
        <v>0.93</v>
      </c>
      <c r="L42" t="str">
        <f t="shared" si="1"/>
        <v>South Lake Tahoe</v>
      </c>
      <c r="M42" t="str">
        <f t="shared" si="2"/>
        <v>CA</v>
      </c>
      <c r="O42">
        <f t="shared" si="3"/>
        <v>294504</v>
      </c>
    </row>
    <row r="43" spans="1:25">
      <c r="A43" t="str">
        <f t="shared" si="0"/>
        <v>Tahoe Keys Beach and Harbor Association Inc</v>
      </c>
      <c r="B43" t="s">
        <v>38</v>
      </c>
      <c r="C43">
        <v>2021</v>
      </c>
      <c r="D43">
        <v>109600</v>
      </c>
      <c r="E43">
        <v>348469</v>
      </c>
      <c r="F43">
        <v>91000</v>
      </c>
      <c r="G43">
        <v>18600</v>
      </c>
      <c r="H43">
        <v>0</v>
      </c>
      <c r="I43">
        <v>9517</v>
      </c>
      <c r="J43">
        <v>1898678</v>
      </c>
      <c r="K43">
        <v>0.83</v>
      </c>
      <c r="L43" t="str">
        <f t="shared" si="1"/>
        <v>South Lake Tahoe</v>
      </c>
      <c r="M43" t="str">
        <f t="shared" si="2"/>
        <v>CA</v>
      </c>
      <c r="O43">
        <f t="shared" si="3"/>
        <v>294504</v>
      </c>
    </row>
    <row r="44" spans="1:25">
      <c r="A44" t="str">
        <f t="shared" si="0"/>
        <v>Tahoe Keys Beach and Harbor Association Inc</v>
      </c>
      <c r="B44" t="s">
        <v>38</v>
      </c>
      <c r="C44">
        <v>2020</v>
      </c>
      <c r="D44">
        <v>223089</v>
      </c>
      <c r="E44">
        <v>209160</v>
      </c>
      <c r="F44">
        <v>0</v>
      </c>
      <c r="G44">
        <v>223089</v>
      </c>
      <c r="H44">
        <v>25200</v>
      </c>
      <c r="I44">
        <v>11520</v>
      </c>
      <c r="J44">
        <v>1440368</v>
      </c>
      <c r="K44">
        <v>0</v>
      </c>
      <c r="L44" t="str">
        <f t="shared" si="1"/>
        <v>South Lake Tahoe</v>
      </c>
      <c r="M44" t="str">
        <f t="shared" si="2"/>
        <v>CA</v>
      </c>
      <c r="O44">
        <f t="shared" si="3"/>
        <v>294504</v>
      </c>
    </row>
    <row r="45" spans="1:25">
      <c r="A45" t="str">
        <f t="shared" si="0"/>
        <v>Tahoe Keys Beach and Harbor Association Inc</v>
      </c>
      <c r="B45" t="s">
        <v>38</v>
      </c>
      <c r="C45">
        <v>2019</v>
      </c>
      <c r="D45">
        <v>222496</v>
      </c>
      <c r="E45">
        <v>241766</v>
      </c>
      <c r="F45">
        <v>0</v>
      </c>
      <c r="G45">
        <v>222496</v>
      </c>
      <c r="H45">
        <v>0</v>
      </c>
      <c r="I45">
        <v>36720</v>
      </c>
      <c r="J45">
        <v>1426919</v>
      </c>
      <c r="K45">
        <v>0</v>
      </c>
      <c r="L45" t="str">
        <f t="shared" si="1"/>
        <v>South Lake Tahoe</v>
      </c>
      <c r="M45" t="str">
        <f t="shared" si="2"/>
        <v>CA</v>
      </c>
      <c r="O45">
        <f t="shared" si="3"/>
        <v>294504</v>
      </c>
    </row>
    <row r="46" spans="1:25">
      <c r="A46" t="str">
        <f t="shared" si="0"/>
        <v>Environmental Center of SLO (ECOSLO)</v>
      </c>
      <c r="B46" t="s">
        <v>40</v>
      </c>
      <c r="C46">
        <v>2021</v>
      </c>
      <c r="D46">
        <v>381067</v>
      </c>
      <c r="E46">
        <v>420263</v>
      </c>
      <c r="F46">
        <v>370314</v>
      </c>
      <c r="G46">
        <v>796</v>
      </c>
      <c r="H46">
        <v>182116</v>
      </c>
      <c r="I46">
        <v>0</v>
      </c>
      <c r="J46">
        <v>294435</v>
      </c>
      <c r="K46">
        <v>0.97</v>
      </c>
      <c r="L46" t="str">
        <f t="shared" si="1"/>
        <v>San Luis Obispo</v>
      </c>
      <c r="M46" t="str">
        <f t="shared" si="2"/>
        <v>CA</v>
      </c>
      <c r="O46">
        <f t="shared" si="3"/>
        <v>265274</v>
      </c>
    </row>
    <row r="47" spans="1:25">
      <c r="A47" t="str">
        <f t="shared" si="0"/>
        <v>Environmental Center of SLO (ECOSLO)</v>
      </c>
      <c r="B47" t="s">
        <v>40</v>
      </c>
      <c r="C47">
        <v>2020</v>
      </c>
      <c r="D47">
        <v>378417</v>
      </c>
      <c r="E47">
        <v>248148</v>
      </c>
      <c r="F47">
        <v>372750</v>
      </c>
      <c r="G47">
        <v>1766</v>
      </c>
      <c r="H47">
        <v>120178</v>
      </c>
      <c r="I47">
        <v>0</v>
      </c>
      <c r="J47">
        <v>333624</v>
      </c>
      <c r="K47">
        <v>0.99</v>
      </c>
      <c r="L47" t="str">
        <f t="shared" si="1"/>
        <v>San Luis Obispo</v>
      </c>
      <c r="M47" t="str">
        <f t="shared" si="2"/>
        <v>CA</v>
      </c>
      <c r="O47">
        <f t="shared" si="3"/>
        <v>265274</v>
      </c>
    </row>
    <row r="48" spans="1:25">
      <c r="A48" t="str">
        <f t="shared" si="0"/>
        <v>Environmental Center of SLO (ECOSLO)</v>
      </c>
      <c r="B48" t="s">
        <v>40</v>
      </c>
      <c r="C48">
        <v>2019</v>
      </c>
      <c r="D48">
        <v>244807</v>
      </c>
      <c r="E48">
        <v>114618</v>
      </c>
      <c r="F48">
        <v>230532</v>
      </c>
      <c r="G48">
        <v>1484</v>
      </c>
      <c r="H48">
        <v>52436</v>
      </c>
      <c r="I48">
        <v>0</v>
      </c>
      <c r="J48">
        <v>203355</v>
      </c>
      <c r="K48">
        <v>0.94</v>
      </c>
      <c r="L48" t="str">
        <f t="shared" si="1"/>
        <v>San Luis Obispo</v>
      </c>
      <c r="M48" t="str">
        <f t="shared" si="2"/>
        <v>CA</v>
      </c>
      <c r="O48">
        <f t="shared" si="3"/>
        <v>265274</v>
      </c>
    </row>
    <row r="49" spans="1:15">
      <c r="A49" t="str">
        <f t="shared" si="0"/>
        <v>Carmel Cares</v>
      </c>
      <c r="B49" t="s">
        <v>42</v>
      </c>
      <c r="C49">
        <v>2022</v>
      </c>
      <c r="D49">
        <v>288191</v>
      </c>
      <c r="E49">
        <v>266700</v>
      </c>
      <c r="F49">
        <v>288191</v>
      </c>
      <c r="G49">
        <v>0</v>
      </c>
      <c r="H49">
        <v>0</v>
      </c>
      <c r="I49">
        <v>0</v>
      </c>
      <c r="J49">
        <v>110410</v>
      </c>
      <c r="K49">
        <v>1</v>
      </c>
      <c r="L49" t="str">
        <f t="shared" si="1"/>
        <v>Carmel</v>
      </c>
      <c r="M49" t="str">
        <f t="shared" si="2"/>
        <v>CA</v>
      </c>
      <c r="O49">
        <f t="shared" si="3"/>
        <v>241142</v>
      </c>
    </row>
    <row r="50" spans="1:15">
      <c r="A50" t="str">
        <f t="shared" si="0"/>
        <v>Carmel Cares</v>
      </c>
      <c r="B50" t="s">
        <v>42</v>
      </c>
      <c r="C50">
        <v>2021</v>
      </c>
      <c r="D50">
        <v>184245</v>
      </c>
      <c r="E50">
        <v>115570</v>
      </c>
      <c r="F50">
        <v>184245</v>
      </c>
      <c r="G50">
        <v>0</v>
      </c>
      <c r="H50">
        <v>0</v>
      </c>
      <c r="I50">
        <v>0</v>
      </c>
      <c r="J50">
        <v>88919</v>
      </c>
      <c r="K50">
        <v>1</v>
      </c>
      <c r="L50" t="str">
        <f t="shared" si="1"/>
        <v>Carmel</v>
      </c>
      <c r="M50" t="str">
        <f t="shared" si="2"/>
        <v>CA</v>
      </c>
      <c r="O50">
        <f t="shared" si="3"/>
        <v>241142</v>
      </c>
    </row>
    <row r="51" spans="1:15">
      <c r="A51" t="str">
        <f t="shared" si="0"/>
        <v>Carmel Cares</v>
      </c>
      <c r="B51" t="s">
        <v>42</v>
      </c>
      <c r="C51">
        <v>2020</v>
      </c>
      <c r="D51">
        <v>32085</v>
      </c>
      <c r="E51">
        <v>11840</v>
      </c>
      <c r="F51">
        <v>0</v>
      </c>
      <c r="G51">
        <v>0</v>
      </c>
      <c r="H51">
        <v>0</v>
      </c>
      <c r="I51">
        <v>0</v>
      </c>
      <c r="J51">
        <v>0</v>
      </c>
      <c r="K51">
        <v>0</v>
      </c>
      <c r="L51" t="str">
        <f t="shared" si="1"/>
        <v>Carmel</v>
      </c>
      <c r="M51" t="str">
        <f t="shared" si="2"/>
        <v>CA</v>
      </c>
      <c r="O51">
        <f t="shared" si="3"/>
        <v>241142</v>
      </c>
    </row>
    <row r="52" spans="1:15">
      <c r="A52" t="str">
        <f t="shared" si="0"/>
        <v>Los Cerritos Wetlands Land Tr for Long Beach &amp; Seal Beach</v>
      </c>
      <c r="B52" t="s">
        <v>46</v>
      </c>
      <c r="C52">
        <v>2022</v>
      </c>
      <c r="D52">
        <v>166816</v>
      </c>
      <c r="E52">
        <v>201797</v>
      </c>
      <c r="F52">
        <v>123004</v>
      </c>
      <c r="G52">
        <v>43812</v>
      </c>
      <c r="H52">
        <v>36471</v>
      </c>
      <c r="I52">
        <v>0</v>
      </c>
      <c r="J52">
        <v>1524490</v>
      </c>
      <c r="K52">
        <v>0.74</v>
      </c>
      <c r="L52" t="str">
        <f t="shared" si="1"/>
        <v>Long Beach</v>
      </c>
      <c r="M52" t="str">
        <f t="shared" si="2"/>
        <v>CA</v>
      </c>
      <c r="O52">
        <f t="shared" si="3"/>
        <v>236345</v>
      </c>
    </row>
    <row r="53" spans="1:15">
      <c r="A53" t="str">
        <f t="shared" si="0"/>
        <v>Los Cerritos Wetlands Land Tr for Long Beach &amp; Seal Beach</v>
      </c>
      <c r="B53" t="s">
        <v>46</v>
      </c>
      <c r="C53">
        <v>2021</v>
      </c>
      <c r="D53">
        <v>300570</v>
      </c>
      <c r="E53">
        <v>203664</v>
      </c>
      <c r="F53">
        <v>236838</v>
      </c>
      <c r="G53">
        <v>63732</v>
      </c>
      <c r="H53">
        <v>36960</v>
      </c>
      <c r="I53">
        <v>0</v>
      </c>
      <c r="J53">
        <v>1792486</v>
      </c>
      <c r="K53">
        <v>0.79</v>
      </c>
      <c r="L53" t="str">
        <f t="shared" si="1"/>
        <v>Long Beach</v>
      </c>
      <c r="M53" t="str">
        <f t="shared" si="2"/>
        <v>CA</v>
      </c>
      <c r="O53">
        <f t="shared" si="3"/>
        <v>236345</v>
      </c>
    </row>
    <row r="54" spans="1:15">
      <c r="A54" t="str">
        <f t="shared" si="0"/>
        <v>Los Cerritos Wetlands Land Tr for Long Beach &amp; Seal Beach</v>
      </c>
      <c r="B54" t="s">
        <v>46</v>
      </c>
      <c r="C54">
        <v>2020</v>
      </c>
      <c r="D54">
        <v>153981</v>
      </c>
      <c r="E54">
        <v>284047</v>
      </c>
      <c r="F54">
        <v>127687</v>
      </c>
      <c r="G54">
        <v>26294</v>
      </c>
      <c r="H54">
        <v>37100</v>
      </c>
      <c r="I54">
        <v>0</v>
      </c>
      <c r="J54">
        <v>1514431</v>
      </c>
      <c r="K54">
        <v>0.83</v>
      </c>
      <c r="L54" t="str">
        <f t="shared" si="1"/>
        <v>Long Beach</v>
      </c>
      <c r="M54" t="str">
        <f t="shared" si="2"/>
        <v>CA</v>
      </c>
      <c r="O54">
        <f t="shared" si="3"/>
        <v>236345</v>
      </c>
    </row>
    <row r="55" spans="1:15">
      <c r="A55" t="str">
        <f t="shared" si="0"/>
        <v>Los Cerritos Wetlands Land Tr for Long Beach &amp; Seal Beach</v>
      </c>
      <c r="B55" t="s">
        <v>46</v>
      </c>
      <c r="C55">
        <v>2019</v>
      </c>
      <c r="D55">
        <v>259784</v>
      </c>
      <c r="E55">
        <v>294302</v>
      </c>
      <c r="F55">
        <v>215864</v>
      </c>
      <c r="G55">
        <v>43920</v>
      </c>
      <c r="H55">
        <v>30333</v>
      </c>
      <c r="I55">
        <v>0</v>
      </c>
      <c r="J55">
        <v>1555540</v>
      </c>
      <c r="K55">
        <v>0.83</v>
      </c>
      <c r="L55" t="str">
        <f t="shared" si="1"/>
        <v>Long Beach</v>
      </c>
      <c r="M55" t="str">
        <f t="shared" si="2"/>
        <v>CA</v>
      </c>
      <c r="O55">
        <f t="shared" si="3"/>
        <v>236345</v>
      </c>
    </row>
    <row r="56" spans="1:15">
      <c r="A56" t="str">
        <f t="shared" si="0"/>
        <v>Seascape Beach Association</v>
      </c>
      <c r="B56" t="s">
        <v>48</v>
      </c>
      <c r="C56">
        <v>2022</v>
      </c>
      <c r="D56">
        <v>134671</v>
      </c>
      <c r="E56">
        <v>127415</v>
      </c>
      <c r="F56">
        <v>0</v>
      </c>
      <c r="G56">
        <v>0</v>
      </c>
      <c r="H56">
        <v>0</v>
      </c>
      <c r="I56">
        <v>0</v>
      </c>
      <c r="J56">
        <v>0</v>
      </c>
      <c r="K56">
        <v>0</v>
      </c>
      <c r="L56" t="str">
        <f t="shared" si="1"/>
        <v>Aptos</v>
      </c>
      <c r="M56" t="str">
        <f t="shared" si="2"/>
        <v>CA</v>
      </c>
      <c r="O56">
        <f t="shared" si="3"/>
        <v>134671</v>
      </c>
    </row>
    <row r="57" spans="1:15">
      <c r="A57" t="str">
        <f t="shared" si="0"/>
        <v>Seascape Beach Association</v>
      </c>
      <c r="B57" t="s">
        <v>48</v>
      </c>
      <c r="C57">
        <v>2021</v>
      </c>
      <c r="D57">
        <v>120032</v>
      </c>
      <c r="E57">
        <v>113783</v>
      </c>
      <c r="F57">
        <v>0</v>
      </c>
      <c r="G57">
        <v>0</v>
      </c>
      <c r="H57">
        <v>0</v>
      </c>
      <c r="I57">
        <v>0</v>
      </c>
      <c r="J57">
        <v>0</v>
      </c>
      <c r="K57">
        <v>0</v>
      </c>
      <c r="L57" t="str">
        <f t="shared" si="1"/>
        <v>Aptos</v>
      </c>
      <c r="M57" t="str">
        <f t="shared" si="2"/>
        <v>CA</v>
      </c>
      <c r="O57">
        <f t="shared" si="3"/>
        <v>134671</v>
      </c>
    </row>
    <row r="58" spans="1:15">
      <c r="A58" t="str">
        <f t="shared" si="0"/>
        <v>Seascape Beach Association</v>
      </c>
      <c r="B58" t="s">
        <v>48</v>
      </c>
      <c r="C58">
        <v>2020</v>
      </c>
      <c r="D58">
        <v>139901</v>
      </c>
      <c r="E58">
        <v>134031</v>
      </c>
      <c r="F58">
        <v>0</v>
      </c>
      <c r="G58">
        <v>0</v>
      </c>
      <c r="H58">
        <v>0</v>
      </c>
      <c r="I58">
        <v>0</v>
      </c>
      <c r="J58">
        <v>0</v>
      </c>
      <c r="K58">
        <v>0</v>
      </c>
      <c r="L58" t="str">
        <f t="shared" si="1"/>
        <v>Aptos</v>
      </c>
      <c r="M58" t="str">
        <f t="shared" si="2"/>
        <v>CA</v>
      </c>
      <c r="O58">
        <f t="shared" si="3"/>
        <v>134671</v>
      </c>
    </row>
    <row r="59" spans="1:15">
      <c r="A59" t="str">
        <f t="shared" si="0"/>
        <v>Seascape Beach Association</v>
      </c>
      <c r="B59" t="s">
        <v>48</v>
      </c>
      <c r="C59">
        <v>2019</v>
      </c>
      <c r="D59">
        <v>460080</v>
      </c>
      <c r="E59">
        <v>450272</v>
      </c>
      <c r="F59">
        <v>454961</v>
      </c>
      <c r="G59">
        <v>5119</v>
      </c>
      <c r="H59">
        <v>0</v>
      </c>
      <c r="I59">
        <v>0</v>
      </c>
      <c r="J59">
        <v>63719</v>
      </c>
      <c r="K59">
        <v>0.99</v>
      </c>
      <c r="L59" t="str">
        <f t="shared" si="1"/>
        <v>Aptos</v>
      </c>
      <c r="M59" t="str">
        <f t="shared" si="2"/>
        <v>CA</v>
      </c>
      <c r="O59">
        <f t="shared" si="3"/>
        <v>134671</v>
      </c>
    </row>
    <row r="60" spans="1:15">
      <c r="A60" t="str">
        <f t="shared" si="0"/>
        <v>ROB MACHADO FOUNDATION</v>
      </c>
      <c r="B60" t="s">
        <v>51</v>
      </c>
      <c r="C60">
        <v>2022</v>
      </c>
      <c r="D60">
        <v>241948</v>
      </c>
      <c r="E60">
        <v>189854</v>
      </c>
      <c r="F60">
        <v>209765</v>
      </c>
      <c r="G60">
        <v>353</v>
      </c>
      <c r="H60">
        <v>0</v>
      </c>
      <c r="I60">
        <v>48000</v>
      </c>
      <c r="J60">
        <v>392098</v>
      </c>
      <c r="K60">
        <v>0.87</v>
      </c>
      <c r="L60" t="str">
        <f t="shared" si="1"/>
        <v>Los Angeles</v>
      </c>
      <c r="M60" t="str">
        <f t="shared" si="2"/>
        <v>CA</v>
      </c>
      <c r="O60">
        <f t="shared" si="3"/>
        <v>132799</v>
      </c>
    </row>
    <row r="61" spans="1:15">
      <c r="A61" t="str">
        <f t="shared" si="0"/>
        <v>ROB MACHADO FOUNDATION</v>
      </c>
      <c r="B61" t="s">
        <v>51</v>
      </c>
      <c r="C61">
        <v>2021</v>
      </c>
      <c r="D61">
        <v>265499</v>
      </c>
      <c r="E61">
        <v>166714</v>
      </c>
      <c r="F61">
        <v>237393</v>
      </c>
      <c r="G61">
        <v>190</v>
      </c>
      <c r="H61">
        <v>0</v>
      </c>
      <c r="I61">
        <v>48000</v>
      </c>
      <c r="J61">
        <v>340004</v>
      </c>
      <c r="K61">
        <v>0.89</v>
      </c>
      <c r="L61" t="str">
        <f t="shared" si="1"/>
        <v>Los Angeles</v>
      </c>
      <c r="M61" t="str">
        <f t="shared" si="2"/>
        <v>CA</v>
      </c>
      <c r="O61">
        <f t="shared" si="3"/>
        <v>132799</v>
      </c>
    </row>
    <row r="62" spans="1:15">
      <c r="A62" t="str">
        <f t="shared" si="0"/>
        <v>ROB MACHADO FOUNDATION</v>
      </c>
      <c r="B62" t="s">
        <v>51</v>
      </c>
      <c r="C62">
        <v>2020</v>
      </c>
      <c r="D62">
        <v>44338</v>
      </c>
      <c r="E62">
        <v>88121</v>
      </c>
      <c r="F62">
        <v>0</v>
      </c>
      <c r="G62">
        <v>0</v>
      </c>
      <c r="H62">
        <v>0</v>
      </c>
      <c r="I62">
        <v>0</v>
      </c>
      <c r="J62">
        <v>0</v>
      </c>
      <c r="K62">
        <v>0</v>
      </c>
      <c r="L62" t="str">
        <f t="shared" si="1"/>
        <v>Los Angeles</v>
      </c>
      <c r="M62" t="str">
        <f t="shared" si="2"/>
        <v>CA</v>
      </c>
      <c r="O62">
        <f t="shared" si="3"/>
        <v>132799</v>
      </c>
    </row>
    <row r="63" spans="1:15">
      <c r="A63" t="str">
        <f t="shared" si="0"/>
        <v>ROB MACHADO FOUNDATION</v>
      </c>
      <c r="B63" t="s">
        <v>51</v>
      </c>
      <c r="C63">
        <v>2019</v>
      </c>
      <c r="D63">
        <v>120557</v>
      </c>
      <c r="E63">
        <v>121326</v>
      </c>
      <c r="F63">
        <v>0</v>
      </c>
      <c r="G63">
        <v>0</v>
      </c>
      <c r="H63">
        <v>0</v>
      </c>
      <c r="I63">
        <v>0</v>
      </c>
      <c r="J63">
        <v>0</v>
      </c>
      <c r="K63">
        <v>0</v>
      </c>
      <c r="L63" t="str">
        <f t="shared" si="1"/>
        <v>Los Angeles</v>
      </c>
      <c r="M63" t="str">
        <f t="shared" si="2"/>
        <v>CA</v>
      </c>
      <c r="O63">
        <f t="shared" si="3"/>
        <v>132799</v>
      </c>
    </row>
    <row r="64" spans="1:15">
      <c r="A64" t="str">
        <f t="shared" si="0"/>
        <v>Pacific Beach Town Council Inc</v>
      </c>
      <c r="B64" t="s">
        <v>54</v>
      </c>
      <c r="C64">
        <v>2022</v>
      </c>
      <c r="D64">
        <v>61683</v>
      </c>
      <c r="E64">
        <v>39782</v>
      </c>
      <c r="F64">
        <v>0</v>
      </c>
      <c r="G64">
        <v>0</v>
      </c>
      <c r="H64">
        <v>0</v>
      </c>
      <c r="I64">
        <v>0</v>
      </c>
      <c r="J64">
        <v>0</v>
      </c>
      <c r="K64">
        <v>0</v>
      </c>
      <c r="L64" t="str">
        <f t="shared" si="1"/>
        <v>San Diego</v>
      </c>
      <c r="M64" t="str">
        <f t="shared" si="2"/>
        <v>CA</v>
      </c>
      <c r="O64">
        <f t="shared" si="3"/>
        <v>114478</v>
      </c>
    </row>
    <row r="65" spans="1:15">
      <c r="A65" t="str">
        <f t="shared" si="0"/>
        <v>Pacific Beach Town Council Inc</v>
      </c>
      <c r="B65" t="s">
        <v>54</v>
      </c>
      <c r="C65">
        <v>2021</v>
      </c>
      <c r="D65">
        <v>47040</v>
      </c>
      <c r="E65">
        <v>16152</v>
      </c>
      <c r="F65">
        <v>0</v>
      </c>
      <c r="G65">
        <v>0</v>
      </c>
      <c r="H65">
        <v>0</v>
      </c>
      <c r="I65">
        <v>0</v>
      </c>
      <c r="J65">
        <v>0</v>
      </c>
      <c r="K65">
        <v>0</v>
      </c>
      <c r="L65" t="str">
        <f t="shared" si="1"/>
        <v>San Diego</v>
      </c>
      <c r="M65" t="str">
        <f t="shared" si="2"/>
        <v>CA</v>
      </c>
      <c r="O65">
        <f t="shared" si="3"/>
        <v>114478</v>
      </c>
    </row>
    <row r="66" spans="1:15">
      <c r="A66" t="str">
        <f t="shared" si="0"/>
        <v>Pacific Beach Town Council Inc</v>
      </c>
      <c r="B66" t="s">
        <v>54</v>
      </c>
      <c r="C66">
        <v>2020</v>
      </c>
      <c r="D66">
        <v>46482</v>
      </c>
      <c r="E66">
        <v>52940</v>
      </c>
      <c r="F66">
        <v>0</v>
      </c>
      <c r="G66">
        <v>0</v>
      </c>
      <c r="H66">
        <v>0</v>
      </c>
      <c r="I66">
        <v>0</v>
      </c>
      <c r="J66">
        <v>0</v>
      </c>
      <c r="K66">
        <v>0</v>
      </c>
      <c r="L66" t="str">
        <f t="shared" si="1"/>
        <v>San Diego</v>
      </c>
      <c r="M66" t="str">
        <f t="shared" si="2"/>
        <v>CA</v>
      </c>
      <c r="O66">
        <f t="shared" si="3"/>
        <v>114478</v>
      </c>
    </row>
    <row r="67" spans="1:15">
      <c r="A67" t="str">
        <f t="shared" ref="A67:A130" si="4">VLOOKUP(B67,$T$2:$Y$37,2,FALSE)</f>
        <v>Pacific Beach Town Council Inc</v>
      </c>
      <c r="B67" t="s">
        <v>54</v>
      </c>
      <c r="C67">
        <v>2019</v>
      </c>
      <c r="D67">
        <v>53590</v>
      </c>
      <c r="E67">
        <v>29383</v>
      </c>
      <c r="F67">
        <v>0</v>
      </c>
      <c r="G67">
        <v>0</v>
      </c>
      <c r="H67">
        <v>0</v>
      </c>
      <c r="I67">
        <v>0</v>
      </c>
      <c r="J67">
        <v>0</v>
      </c>
      <c r="K67">
        <v>0</v>
      </c>
      <c r="L67" t="str">
        <f t="shared" ref="L67:L130" si="5">VLOOKUP(B67,$T$2:$Y$37,5,FALSE)</f>
        <v>San Diego</v>
      </c>
      <c r="M67" t="str">
        <f t="shared" ref="M67:M130" si="6">VLOOKUP(B67,$T$2:$Y$37,6,FALSE)</f>
        <v>CA</v>
      </c>
      <c r="O67">
        <f t="shared" ref="O67:O130" si="7">VLOOKUP(B67,$T$2:$Y$37,3,FALSE)</f>
        <v>114478</v>
      </c>
    </row>
    <row r="68" spans="1:15">
      <c r="A68" t="str">
        <f t="shared" si="4"/>
        <v>Cabrillo Beach Boosters Incorporated</v>
      </c>
      <c r="B68" t="s">
        <v>56</v>
      </c>
      <c r="C68">
        <v>2022</v>
      </c>
      <c r="D68">
        <v>39881</v>
      </c>
      <c r="E68">
        <v>40579</v>
      </c>
      <c r="F68">
        <v>39869</v>
      </c>
      <c r="G68">
        <v>12</v>
      </c>
      <c r="H68">
        <v>0</v>
      </c>
      <c r="I68">
        <v>0</v>
      </c>
      <c r="J68">
        <v>87825</v>
      </c>
      <c r="K68">
        <v>1</v>
      </c>
      <c r="L68" t="str">
        <f t="shared" si="5"/>
        <v>San Pedro</v>
      </c>
      <c r="M68" t="str">
        <f t="shared" si="6"/>
        <v>CA</v>
      </c>
      <c r="O68">
        <f t="shared" si="7"/>
        <v>105191</v>
      </c>
    </row>
    <row r="69" spans="1:15">
      <c r="A69" t="str">
        <f t="shared" si="4"/>
        <v>Cabrillo Beach Boosters Incorporated</v>
      </c>
      <c r="B69" t="s">
        <v>56</v>
      </c>
      <c r="C69">
        <v>2021</v>
      </c>
      <c r="D69">
        <v>6559</v>
      </c>
      <c r="E69">
        <v>17099</v>
      </c>
      <c r="F69">
        <v>6540</v>
      </c>
      <c r="G69">
        <v>19</v>
      </c>
      <c r="H69">
        <v>0</v>
      </c>
      <c r="I69">
        <v>0</v>
      </c>
      <c r="J69">
        <v>88523</v>
      </c>
      <c r="K69">
        <v>1</v>
      </c>
      <c r="L69" t="str">
        <f t="shared" si="5"/>
        <v>San Pedro</v>
      </c>
      <c r="M69" t="str">
        <f t="shared" si="6"/>
        <v>CA</v>
      </c>
      <c r="O69">
        <f t="shared" si="7"/>
        <v>105191</v>
      </c>
    </row>
    <row r="70" spans="1:15">
      <c r="A70" t="str">
        <f t="shared" si="4"/>
        <v>Cabrillo Beach Boosters Incorporated</v>
      </c>
      <c r="B70" t="s">
        <v>56</v>
      </c>
      <c r="C70">
        <v>2020</v>
      </c>
      <c r="D70">
        <v>40864</v>
      </c>
      <c r="E70">
        <v>47944</v>
      </c>
      <c r="F70">
        <v>40849</v>
      </c>
      <c r="G70">
        <v>15</v>
      </c>
      <c r="H70">
        <v>0</v>
      </c>
      <c r="I70">
        <v>0</v>
      </c>
      <c r="J70">
        <v>99063</v>
      </c>
      <c r="K70">
        <v>1</v>
      </c>
      <c r="L70" t="str">
        <f t="shared" si="5"/>
        <v>San Pedro</v>
      </c>
      <c r="M70" t="str">
        <f t="shared" si="6"/>
        <v>CA</v>
      </c>
      <c r="O70">
        <f t="shared" si="7"/>
        <v>105191</v>
      </c>
    </row>
    <row r="71" spans="1:15">
      <c r="A71" t="str">
        <f t="shared" si="4"/>
        <v>Cabrillo Beach Boosters Incorporated</v>
      </c>
      <c r="B71" t="s">
        <v>56</v>
      </c>
      <c r="C71">
        <v>2019</v>
      </c>
      <c r="D71">
        <v>47726</v>
      </c>
      <c r="E71">
        <v>56568</v>
      </c>
      <c r="F71">
        <v>47715</v>
      </c>
      <c r="G71">
        <v>11</v>
      </c>
      <c r="H71">
        <v>0</v>
      </c>
      <c r="I71">
        <v>0</v>
      </c>
      <c r="J71">
        <v>106143</v>
      </c>
      <c r="K71">
        <v>1</v>
      </c>
      <c r="L71" t="str">
        <f t="shared" si="5"/>
        <v>San Pedro</v>
      </c>
      <c r="M71" t="str">
        <f t="shared" si="6"/>
        <v>CA</v>
      </c>
      <c r="O71">
        <f t="shared" si="7"/>
        <v>105191</v>
      </c>
    </row>
    <row r="72" spans="1:15">
      <c r="A72" t="str">
        <f t="shared" si="4"/>
        <v>SURFING MADONNA OCEANS PROJECT </v>
      </c>
      <c r="B72" t="s">
        <v>59</v>
      </c>
      <c r="C72">
        <v>2022</v>
      </c>
      <c r="D72">
        <v>81624</v>
      </c>
      <c r="E72">
        <v>130205</v>
      </c>
      <c r="F72">
        <v>0</v>
      </c>
      <c r="G72">
        <v>0</v>
      </c>
      <c r="H72">
        <v>0</v>
      </c>
      <c r="I72">
        <v>0</v>
      </c>
      <c r="J72">
        <v>0</v>
      </c>
      <c r="K72">
        <v>0</v>
      </c>
      <c r="L72" t="str">
        <f t="shared" si="5"/>
        <v>Encinitas</v>
      </c>
      <c r="M72" t="str">
        <f t="shared" si="6"/>
        <v>CA</v>
      </c>
      <c r="O72">
        <f t="shared" si="7"/>
        <v>101808</v>
      </c>
    </row>
    <row r="73" spans="1:15">
      <c r="A73" t="str">
        <f t="shared" si="4"/>
        <v>SURFING MADONNA OCEANS PROJECT </v>
      </c>
      <c r="B73" t="s">
        <v>59</v>
      </c>
      <c r="C73">
        <v>2021</v>
      </c>
      <c r="D73">
        <v>100610</v>
      </c>
      <c r="E73">
        <v>119917</v>
      </c>
      <c r="F73">
        <v>0</v>
      </c>
      <c r="G73">
        <v>0</v>
      </c>
      <c r="H73">
        <v>0</v>
      </c>
      <c r="I73">
        <v>0</v>
      </c>
      <c r="J73">
        <v>0</v>
      </c>
      <c r="K73">
        <v>0</v>
      </c>
      <c r="L73" t="str">
        <f t="shared" si="5"/>
        <v>Encinitas</v>
      </c>
      <c r="M73" t="str">
        <f t="shared" si="6"/>
        <v>CA</v>
      </c>
      <c r="O73">
        <f t="shared" si="7"/>
        <v>101808</v>
      </c>
    </row>
    <row r="74" spans="1:15">
      <c r="A74" t="str">
        <f t="shared" si="4"/>
        <v>SURFING MADONNA OCEANS PROJECT </v>
      </c>
      <c r="B74" t="s">
        <v>59</v>
      </c>
      <c r="C74">
        <v>2020</v>
      </c>
      <c r="D74">
        <v>260362</v>
      </c>
      <c r="E74">
        <v>412275</v>
      </c>
      <c r="F74">
        <v>368</v>
      </c>
      <c r="G74">
        <v>258449</v>
      </c>
      <c r="H74">
        <v>0</v>
      </c>
      <c r="I74">
        <v>185000</v>
      </c>
      <c r="J74">
        <v>317658</v>
      </c>
      <c r="K74">
        <v>0</v>
      </c>
      <c r="L74" t="str">
        <f t="shared" si="5"/>
        <v>Encinitas</v>
      </c>
      <c r="M74" t="str">
        <f t="shared" si="6"/>
        <v>CA</v>
      </c>
      <c r="O74">
        <f t="shared" si="7"/>
        <v>101808</v>
      </c>
    </row>
    <row r="75" spans="1:15">
      <c r="A75" t="str">
        <f t="shared" si="4"/>
        <v>SURFING MADONNA OCEANS PROJECT </v>
      </c>
      <c r="B75" t="s">
        <v>59</v>
      </c>
      <c r="C75">
        <v>2019</v>
      </c>
      <c r="D75">
        <v>756728</v>
      </c>
      <c r="E75">
        <v>741402</v>
      </c>
      <c r="F75">
        <v>57684</v>
      </c>
      <c r="G75">
        <v>699044</v>
      </c>
      <c r="H75">
        <v>0</v>
      </c>
      <c r="I75">
        <v>244259</v>
      </c>
      <c r="J75">
        <v>475643</v>
      </c>
      <c r="K75">
        <v>0.08</v>
      </c>
      <c r="L75" t="str">
        <f t="shared" si="5"/>
        <v>Encinitas</v>
      </c>
      <c r="M75" t="str">
        <f t="shared" si="6"/>
        <v>CA</v>
      </c>
      <c r="O75">
        <f t="shared" si="7"/>
        <v>101808</v>
      </c>
    </row>
    <row r="76" spans="1:15">
      <c r="A76" t="str">
        <f t="shared" si="4"/>
        <v>SANTA BARBARA COUNTY TRAILS COUNCIL</v>
      </c>
      <c r="B76" t="s">
        <v>62</v>
      </c>
      <c r="C76">
        <v>2022</v>
      </c>
      <c r="D76">
        <v>92251</v>
      </c>
      <c r="E76">
        <v>136845</v>
      </c>
      <c r="F76">
        <v>92251</v>
      </c>
      <c r="G76">
        <v>0</v>
      </c>
      <c r="H76">
        <v>0</v>
      </c>
      <c r="I76">
        <v>54000</v>
      </c>
      <c r="J76">
        <v>610238</v>
      </c>
      <c r="K76">
        <v>1</v>
      </c>
      <c r="L76" t="str">
        <f t="shared" si="5"/>
        <v>Santa Barbara</v>
      </c>
      <c r="M76" t="str">
        <f t="shared" si="6"/>
        <v>CA</v>
      </c>
      <c r="O76">
        <f t="shared" si="7"/>
        <v>82636</v>
      </c>
    </row>
    <row r="77" spans="1:15">
      <c r="A77" t="str">
        <f t="shared" si="4"/>
        <v>SANTA BARBARA COUNTY TRAILS COUNCIL</v>
      </c>
      <c r="B77" t="s">
        <v>62</v>
      </c>
      <c r="C77">
        <v>2021</v>
      </c>
      <c r="D77">
        <v>179434</v>
      </c>
      <c r="E77">
        <v>263934</v>
      </c>
      <c r="F77">
        <v>179434</v>
      </c>
      <c r="G77">
        <v>0</v>
      </c>
      <c r="H77">
        <v>0</v>
      </c>
      <c r="I77">
        <v>54000</v>
      </c>
      <c r="J77">
        <v>767029</v>
      </c>
      <c r="K77">
        <v>1</v>
      </c>
      <c r="L77" t="str">
        <f t="shared" si="5"/>
        <v>Santa Barbara</v>
      </c>
      <c r="M77" t="str">
        <f t="shared" si="6"/>
        <v>CA</v>
      </c>
      <c r="O77">
        <f t="shared" si="7"/>
        <v>82636</v>
      </c>
    </row>
    <row r="78" spans="1:15">
      <c r="A78" t="str">
        <f t="shared" si="4"/>
        <v>SANTA BARBARA COUNTY TRAILS COUNCIL</v>
      </c>
      <c r="B78" t="s">
        <v>62</v>
      </c>
      <c r="C78">
        <v>2020</v>
      </c>
      <c r="D78">
        <v>129525</v>
      </c>
      <c r="E78">
        <v>287589</v>
      </c>
      <c r="F78">
        <v>95682</v>
      </c>
      <c r="G78">
        <v>33843</v>
      </c>
      <c r="H78">
        <v>0</v>
      </c>
      <c r="I78">
        <v>48500</v>
      </c>
      <c r="J78">
        <v>765963</v>
      </c>
      <c r="K78">
        <v>0.74</v>
      </c>
      <c r="L78" t="str">
        <f t="shared" si="5"/>
        <v>Santa Barbara</v>
      </c>
      <c r="M78" t="str">
        <f t="shared" si="6"/>
        <v>CA</v>
      </c>
      <c r="O78">
        <f t="shared" si="7"/>
        <v>82636</v>
      </c>
    </row>
    <row r="79" spans="1:15">
      <c r="A79" t="str">
        <f t="shared" si="4"/>
        <v>SANTA BARBARA COUNTY TRAILS COUNCIL</v>
      </c>
      <c r="B79" t="s">
        <v>62</v>
      </c>
      <c r="C79">
        <v>2019</v>
      </c>
      <c r="D79">
        <v>637422</v>
      </c>
      <c r="E79">
        <v>213173</v>
      </c>
      <c r="F79">
        <v>43945</v>
      </c>
      <c r="G79">
        <v>593477</v>
      </c>
      <c r="H79">
        <v>0</v>
      </c>
      <c r="I79">
        <v>47000</v>
      </c>
      <c r="J79">
        <v>861276</v>
      </c>
      <c r="K79">
        <v>7.0000000000000007E-2</v>
      </c>
      <c r="L79" t="str">
        <f t="shared" si="5"/>
        <v>Santa Barbara</v>
      </c>
      <c r="M79" t="str">
        <f t="shared" si="6"/>
        <v>CA</v>
      </c>
      <c r="O79">
        <f t="shared" si="7"/>
        <v>82636</v>
      </c>
    </row>
    <row r="80" spans="1:15">
      <c r="A80" t="str">
        <f t="shared" si="4"/>
        <v>The SeaChange Agency</v>
      </c>
      <c r="B80" t="s">
        <v>65</v>
      </c>
      <c r="C80">
        <v>2022</v>
      </c>
      <c r="D80">
        <v>152553</v>
      </c>
      <c r="E80">
        <v>51078</v>
      </c>
      <c r="F80">
        <v>0</v>
      </c>
      <c r="G80">
        <v>0</v>
      </c>
      <c r="H80">
        <v>0</v>
      </c>
      <c r="I80">
        <v>0</v>
      </c>
      <c r="J80">
        <v>0</v>
      </c>
      <c r="K80">
        <v>0</v>
      </c>
      <c r="L80" t="str">
        <f t="shared" si="5"/>
        <v>Venice</v>
      </c>
      <c r="M80" t="str">
        <f t="shared" si="6"/>
        <v>CA</v>
      </c>
      <c r="O80">
        <f t="shared" si="7"/>
        <v>44071</v>
      </c>
    </row>
    <row r="81" spans="1:15">
      <c r="A81" t="str">
        <f t="shared" si="4"/>
        <v>The SeaChange Agency</v>
      </c>
      <c r="B81" t="s">
        <v>65</v>
      </c>
      <c r="C81">
        <v>2020</v>
      </c>
      <c r="D81">
        <v>67300</v>
      </c>
      <c r="E81">
        <v>62601</v>
      </c>
      <c r="F81">
        <v>0</v>
      </c>
      <c r="G81">
        <v>0</v>
      </c>
      <c r="H81">
        <v>0</v>
      </c>
      <c r="I81">
        <v>0</v>
      </c>
      <c r="J81">
        <v>0</v>
      </c>
      <c r="K81">
        <v>0</v>
      </c>
      <c r="L81" t="str">
        <f t="shared" si="5"/>
        <v>Venice</v>
      </c>
      <c r="M81" t="str">
        <f t="shared" si="6"/>
        <v>CA</v>
      </c>
      <c r="O81">
        <f t="shared" si="7"/>
        <v>44071</v>
      </c>
    </row>
    <row r="82" spans="1:15">
      <c r="A82" t="str">
        <f t="shared" si="4"/>
        <v>Buckminster Fuller Institute</v>
      </c>
      <c r="B82" t="s">
        <v>69</v>
      </c>
      <c r="C82">
        <v>2020</v>
      </c>
      <c r="D82">
        <v>1086568</v>
      </c>
      <c r="E82">
        <v>1281778</v>
      </c>
      <c r="F82">
        <v>1052033</v>
      </c>
      <c r="G82">
        <v>22636</v>
      </c>
      <c r="H82">
        <v>25026</v>
      </c>
      <c r="I82">
        <v>167000</v>
      </c>
      <c r="J82">
        <v>572235</v>
      </c>
      <c r="K82">
        <v>0.97</v>
      </c>
      <c r="L82" t="str">
        <f t="shared" si="5"/>
        <v>San Francisco</v>
      </c>
      <c r="M82" t="str">
        <f t="shared" si="6"/>
        <v>CA</v>
      </c>
      <c r="O82">
        <f t="shared" si="7"/>
        <v>2942863</v>
      </c>
    </row>
    <row r="83" spans="1:15">
      <c r="A83" t="str">
        <f t="shared" si="4"/>
        <v>Buckminster Fuller Institute</v>
      </c>
      <c r="B83" t="s">
        <v>69</v>
      </c>
      <c r="C83">
        <v>2019</v>
      </c>
      <c r="D83">
        <v>1529502</v>
      </c>
      <c r="E83">
        <v>792166</v>
      </c>
      <c r="F83">
        <v>1327437</v>
      </c>
      <c r="G83">
        <v>191321</v>
      </c>
      <c r="H83">
        <v>0</v>
      </c>
      <c r="I83">
        <v>226063</v>
      </c>
      <c r="J83">
        <v>767445</v>
      </c>
      <c r="K83">
        <v>0.87</v>
      </c>
      <c r="L83" t="str">
        <f t="shared" si="5"/>
        <v>San Francisco</v>
      </c>
      <c r="M83" t="str">
        <f t="shared" si="6"/>
        <v>CA</v>
      </c>
      <c r="O83">
        <f t="shared" si="7"/>
        <v>2942863</v>
      </c>
    </row>
    <row r="84" spans="1:15">
      <c r="A84" t="str">
        <f t="shared" si="4"/>
        <v>San Francisco Baykeeper</v>
      </c>
      <c r="B84" t="s">
        <v>72</v>
      </c>
      <c r="C84">
        <v>2022</v>
      </c>
      <c r="D84">
        <v>2570056</v>
      </c>
      <c r="E84">
        <v>1680433</v>
      </c>
      <c r="F84">
        <v>2344401</v>
      </c>
      <c r="G84">
        <v>219576</v>
      </c>
      <c r="H84">
        <v>853511</v>
      </c>
      <c r="I84">
        <v>270238</v>
      </c>
      <c r="J84">
        <v>1742816</v>
      </c>
      <c r="K84">
        <v>0.91</v>
      </c>
      <c r="L84" t="str">
        <f t="shared" si="5"/>
        <v>Oakland</v>
      </c>
      <c r="M84" t="str">
        <f t="shared" si="6"/>
        <v>CA</v>
      </c>
      <c r="O84">
        <f t="shared" si="7"/>
        <v>2118458</v>
      </c>
    </row>
    <row r="85" spans="1:15">
      <c r="A85" t="str">
        <f t="shared" si="4"/>
        <v>San Francisco Baykeeper</v>
      </c>
      <c r="B85" t="s">
        <v>72</v>
      </c>
      <c r="C85">
        <v>2021</v>
      </c>
      <c r="D85">
        <v>1495238</v>
      </c>
      <c r="E85">
        <v>1475817</v>
      </c>
      <c r="F85">
        <v>1245090</v>
      </c>
      <c r="G85">
        <v>246645</v>
      </c>
      <c r="H85">
        <v>755454</v>
      </c>
      <c r="I85">
        <v>251716</v>
      </c>
      <c r="J85">
        <v>1102272</v>
      </c>
      <c r="K85">
        <v>0.83</v>
      </c>
      <c r="L85" t="str">
        <f t="shared" si="5"/>
        <v>Oakland</v>
      </c>
      <c r="M85" t="str">
        <f t="shared" si="6"/>
        <v>CA</v>
      </c>
      <c r="O85">
        <f t="shared" si="7"/>
        <v>2118458</v>
      </c>
    </row>
    <row r="86" spans="1:15">
      <c r="A86" t="str">
        <f t="shared" si="4"/>
        <v>San Francisco Baykeeper</v>
      </c>
      <c r="B86" t="s">
        <v>72</v>
      </c>
      <c r="C86">
        <v>2020</v>
      </c>
      <c r="D86">
        <v>1487284</v>
      </c>
      <c r="E86">
        <v>1502839</v>
      </c>
      <c r="F86">
        <v>1213216</v>
      </c>
      <c r="G86">
        <v>201890</v>
      </c>
      <c r="H86">
        <v>783039</v>
      </c>
      <c r="I86">
        <v>224675</v>
      </c>
      <c r="J86">
        <v>1017126</v>
      </c>
      <c r="K86">
        <v>0.82</v>
      </c>
      <c r="L86" t="str">
        <f t="shared" si="5"/>
        <v>Oakland</v>
      </c>
      <c r="M86" t="str">
        <f t="shared" si="6"/>
        <v>CA</v>
      </c>
      <c r="O86">
        <f t="shared" si="7"/>
        <v>2118458</v>
      </c>
    </row>
    <row r="87" spans="1:15">
      <c r="A87" t="str">
        <f t="shared" si="4"/>
        <v>San Francisco Baykeeper</v>
      </c>
      <c r="B87" t="s">
        <v>72</v>
      </c>
      <c r="C87">
        <v>2019</v>
      </c>
      <c r="D87">
        <v>1523594</v>
      </c>
      <c r="E87">
        <v>1593584</v>
      </c>
      <c r="F87">
        <v>1231045</v>
      </c>
      <c r="G87">
        <v>292549</v>
      </c>
      <c r="H87">
        <v>639076</v>
      </c>
      <c r="I87">
        <v>218135</v>
      </c>
      <c r="J87">
        <v>1100144</v>
      </c>
      <c r="K87">
        <v>0.81</v>
      </c>
      <c r="L87" t="str">
        <f t="shared" si="5"/>
        <v>Oakland</v>
      </c>
      <c r="M87" t="str">
        <f t="shared" si="6"/>
        <v>CA</v>
      </c>
      <c r="O87">
        <f t="shared" si="7"/>
        <v>2118458</v>
      </c>
    </row>
    <row r="88" spans="1:15">
      <c r="A88" t="str">
        <f t="shared" si="4"/>
        <v>I Love A Clean San Diego</v>
      </c>
      <c r="B88" t="s">
        <v>74</v>
      </c>
      <c r="C88">
        <v>2022</v>
      </c>
      <c r="D88">
        <v>1936406</v>
      </c>
      <c r="E88">
        <v>1813227</v>
      </c>
      <c r="F88">
        <v>630499</v>
      </c>
      <c r="G88">
        <v>1306127</v>
      </c>
      <c r="H88">
        <v>990102</v>
      </c>
      <c r="I88">
        <v>126334</v>
      </c>
      <c r="J88">
        <v>1073185</v>
      </c>
      <c r="K88">
        <v>0.33</v>
      </c>
      <c r="L88" t="str">
        <f t="shared" si="5"/>
        <v>San Diego</v>
      </c>
      <c r="M88" t="str">
        <f t="shared" si="6"/>
        <v>CA</v>
      </c>
      <c r="O88">
        <f t="shared" si="7"/>
        <v>2097188</v>
      </c>
    </row>
    <row r="89" spans="1:15">
      <c r="A89" t="str">
        <f t="shared" si="4"/>
        <v>I Love A Clean San Diego</v>
      </c>
      <c r="B89" t="s">
        <v>74</v>
      </c>
      <c r="C89">
        <v>2021</v>
      </c>
      <c r="D89">
        <v>1340137</v>
      </c>
      <c r="E89">
        <v>1458598</v>
      </c>
      <c r="F89">
        <v>329658</v>
      </c>
      <c r="G89">
        <v>1008072</v>
      </c>
      <c r="H89">
        <v>671362</v>
      </c>
      <c r="I89">
        <v>184181</v>
      </c>
      <c r="J89">
        <v>1011704</v>
      </c>
      <c r="K89">
        <v>0.25</v>
      </c>
      <c r="L89" t="str">
        <f t="shared" si="5"/>
        <v>San Diego</v>
      </c>
      <c r="M89" t="str">
        <f t="shared" si="6"/>
        <v>CA</v>
      </c>
      <c r="O89">
        <f t="shared" si="7"/>
        <v>2097188</v>
      </c>
    </row>
    <row r="90" spans="1:15">
      <c r="A90" t="str">
        <f t="shared" si="4"/>
        <v>I Love A Clean San Diego</v>
      </c>
      <c r="B90" t="s">
        <v>74</v>
      </c>
      <c r="C90">
        <v>2020</v>
      </c>
      <c r="D90">
        <v>1508757</v>
      </c>
      <c r="E90">
        <v>1398627</v>
      </c>
      <c r="F90">
        <v>547843</v>
      </c>
      <c r="G90">
        <v>966402</v>
      </c>
      <c r="H90">
        <v>717143</v>
      </c>
      <c r="I90">
        <v>133359</v>
      </c>
      <c r="J90">
        <v>1054891</v>
      </c>
      <c r="K90">
        <v>0.36</v>
      </c>
      <c r="L90" t="str">
        <f t="shared" si="5"/>
        <v>San Diego</v>
      </c>
      <c r="M90" t="str">
        <f t="shared" si="6"/>
        <v>CA</v>
      </c>
      <c r="O90">
        <f t="shared" si="7"/>
        <v>2097188</v>
      </c>
    </row>
    <row r="91" spans="1:15">
      <c r="A91" t="str">
        <f t="shared" si="4"/>
        <v>I Love A Clean San Diego</v>
      </c>
      <c r="B91" t="s">
        <v>74</v>
      </c>
      <c r="C91">
        <v>2019</v>
      </c>
      <c r="D91">
        <v>1804843</v>
      </c>
      <c r="E91">
        <v>1694103</v>
      </c>
      <c r="F91">
        <v>503287</v>
      </c>
      <c r="G91">
        <v>1290926</v>
      </c>
      <c r="H91">
        <v>752363</v>
      </c>
      <c r="I91">
        <v>110000</v>
      </c>
      <c r="J91">
        <v>917718</v>
      </c>
      <c r="K91">
        <v>0.28000000000000003</v>
      </c>
      <c r="L91" t="str">
        <f t="shared" si="5"/>
        <v>San Diego</v>
      </c>
      <c r="M91" t="str">
        <f t="shared" si="6"/>
        <v>CA</v>
      </c>
      <c r="O91">
        <f t="shared" si="7"/>
        <v>2097188</v>
      </c>
    </row>
    <row r="92" spans="1:15">
      <c r="A92" t="str">
        <f t="shared" si="4"/>
        <v>Heal the Ocean</v>
      </c>
      <c r="B92" t="s">
        <v>76</v>
      </c>
      <c r="C92">
        <v>2022</v>
      </c>
      <c r="D92">
        <v>941249</v>
      </c>
      <c r="E92">
        <v>674629</v>
      </c>
      <c r="F92">
        <v>939705</v>
      </c>
      <c r="G92">
        <v>2122</v>
      </c>
      <c r="H92">
        <v>142176</v>
      </c>
      <c r="I92">
        <v>155450</v>
      </c>
      <c r="J92">
        <v>1375594</v>
      </c>
      <c r="K92">
        <v>1</v>
      </c>
      <c r="L92" t="str">
        <f t="shared" si="5"/>
        <v>Santa Barbara</v>
      </c>
      <c r="M92" t="str">
        <f t="shared" si="6"/>
        <v>CA</v>
      </c>
      <c r="O92">
        <f t="shared" si="7"/>
        <v>1836081</v>
      </c>
    </row>
    <row r="93" spans="1:15">
      <c r="A93" t="str">
        <f t="shared" si="4"/>
        <v>Heal the Ocean</v>
      </c>
      <c r="B93" t="s">
        <v>76</v>
      </c>
      <c r="C93">
        <v>2021</v>
      </c>
      <c r="D93">
        <v>741797</v>
      </c>
      <c r="E93">
        <v>618885</v>
      </c>
      <c r="F93">
        <v>755623</v>
      </c>
      <c r="G93">
        <v>456</v>
      </c>
      <c r="H93">
        <v>101892</v>
      </c>
      <c r="I93">
        <v>155300</v>
      </c>
      <c r="J93">
        <v>1108974</v>
      </c>
      <c r="K93">
        <v>1.02</v>
      </c>
      <c r="L93" t="str">
        <f t="shared" si="5"/>
        <v>Santa Barbara</v>
      </c>
      <c r="M93" t="str">
        <f t="shared" si="6"/>
        <v>CA</v>
      </c>
      <c r="O93">
        <f t="shared" si="7"/>
        <v>1836081</v>
      </c>
    </row>
    <row r="94" spans="1:15">
      <c r="A94" t="str">
        <f t="shared" si="4"/>
        <v>Heal the Ocean</v>
      </c>
      <c r="B94" t="s">
        <v>76</v>
      </c>
      <c r="C94">
        <v>2020</v>
      </c>
      <c r="D94">
        <v>999951</v>
      </c>
      <c r="E94">
        <v>501502</v>
      </c>
      <c r="F94">
        <v>1015157</v>
      </c>
      <c r="G94">
        <v>1275</v>
      </c>
      <c r="H94">
        <v>93995</v>
      </c>
      <c r="I94">
        <v>155250</v>
      </c>
      <c r="J94">
        <v>986062</v>
      </c>
      <c r="K94">
        <v>1.02</v>
      </c>
      <c r="L94" t="str">
        <f t="shared" si="5"/>
        <v>Santa Barbara</v>
      </c>
      <c r="M94" t="str">
        <f t="shared" si="6"/>
        <v>CA</v>
      </c>
      <c r="O94">
        <f t="shared" si="7"/>
        <v>1836081</v>
      </c>
    </row>
    <row r="95" spans="1:15">
      <c r="A95" t="str">
        <f t="shared" si="4"/>
        <v>Heal the Ocean</v>
      </c>
      <c r="B95" t="s">
        <v>76</v>
      </c>
      <c r="C95">
        <v>2019</v>
      </c>
      <c r="D95">
        <v>529975</v>
      </c>
      <c r="E95">
        <v>429846</v>
      </c>
      <c r="F95">
        <v>500079</v>
      </c>
      <c r="G95">
        <v>1692</v>
      </c>
      <c r="H95">
        <v>67783</v>
      </c>
      <c r="I95">
        <v>136324</v>
      </c>
      <c r="J95">
        <v>487613</v>
      </c>
      <c r="K95">
        <v>0.94</v>
      </c>
      <c r="L95" t="str">
        <f t="shared" si="5"/>
        <v>Santa Barbara</v>
      </c>
      <c r="M95" t="str">
        <f t="shared" si="6"/>
        <v>CA</v>
      </c>
      <c r="O95">
        <f t="shared" si="7"/>
        <v>1836081</v>
      </c>
    </row>
    <row r="96" spans="1:15">
      <c r="A96" t="str">
        <f t="shared" si="4"/>
        <v>New Roots Institute</v>
      </c>
      <c r="B96" t="s">
        <v>78</v>
      </c>
      <c r="C96">
        <v>2022</v>
      </c>
      <c r="D96">
        <v>1197314</v>
      </c>
      <c r="E96">
        <v>1053175</v>
      </c>
      <c r="F96">
        <v>1195999</v>
      </c>
      <c r="G96">
        <v>1315</v>
      </c>
      <c r="H96">
        <v>665221</v>
      </c>
      <c r="I96">
        <v>80308</v>
      </c>
      <c r="J96">
        <v>1119071</v>
      </c>
      <c r="K96">
        <v>1</v>
      </c>
      <c r="L96" t="str">
        <f t="shared" si="5"/>
        <v>Los Angeles</v>
      </c>
      <c r="M96" t="str">
        <f t="shared" si="6"/>
        <v>CA</v>
      </c>
      <c r="O96">
        <f t="shared" si="7"/>
        <v>1670660</v>
      </c>
    </row>
    <row r="97" spans="1:15">
      <c r="A97" t="str">
        <f t="shared" si="4"/>
        <v>New Roots Institute</v>
      </c>
      <c r="B97" t="s">
        <v>78</v>
      </c>
      <c r="C97">
        <v>2021</v>
      </c>
      <c r="D97">
        <v>1508083</v>
      </c>
      <c r="E97">
        <v>1002017</v>
      </c>
      <c r="F97">
        <v>1489539</v>
      </c>
      <c r="G97">
        <v>13686</v>
      </c>
      <c r="H97">
        <v>563616</v>
      </c>
      <c r="I97">
        <v>0</v>
      </c>
      <c r="J97">
        <v>975975</v>
      </c>
      <c r="K97">
        <v>0.99</v>
      </c>
      <c r="L97" t="str">
        <f t="shared" si="5"/>
        <v>Los Angeles</v>
      </c>
      <c r="M97" t="str">
        <f t="shared" si="6"/>
        <v>CA</v>
      </c>
      <c r="O97">
        <f t="shared" si="7"/>
        <v>1670660</v>
      </c>
    </row>
    <row r="98" spans="1:15">
      <c r="A98" t="str">
        <f t="shared" si="4"/>
        <v>New Roots Institute</v>
      </c>
      <c r="B98" t="s">
        <v>78</v>
      </c>
      <c r="C98">
        <v>2020</v>
      </c>
      <c r="D98">
        <v>1032275</v>
      </c>
      <c r="E98">
        <v>931951</v>
      </c>
      <c r="F98">
        <v>1049786</v>
      </c>
      <c r="G98">
        <v>6232</v>
      </c>
      <c r="H98">
        <v>450178</v>
      </c>
      <c r="I98">
        <v>52053</v>
      </c>
      <c r="J98">
        <v>469873</v>
      </c>
      <c r="K98">
        <v>1.02</v>
      </c>
      <c r="L98" t="str">
        <f t="shared" si="5"/>
        <v>Los Angeles</v>
      </c>
      <c r="M98" t="str">
        <f t="shared" si="6"/>
        <v>CA</v>
      </c>
      <c r="O98">
        <f t="shared" si="7"/>
        <v>1670660</v>
      </c>
    </row>
    <row r="99" spans="1:15">
      <c r="A99" t="str">
        <f t="shared" si="4"/>
        <v>New Roots Institute</v>
      </c>
      <c r="B99" t="s">
        <v>78</v>
      </c>
      <c r="C99">
        <v>2019</v>
      </c>
      <c r="D99">
        <v>921966</v>
      </c>
      <c r="E99">
        <v>587655</v>
      </c>
      <c r="F99">
        <v>904789</v>
      </c>
      <c r="G99">
        <v>31471</v>
      </c>
      <c r="H99">
        <v>377372</v>
      </c>
      <c r="I99">
        <v>0</v>
      </c>
      <c r="J99">
        <v>367735</v>
      </c>
      <c r="K99">
        <v>0.98</v>
      </c>
      <c r="L99" t="str">
        <f t="shared" si="5"/>
        <v>Los Angeles</v>
      </c>
      <c r="M99" t="str">
        <f t="shared" si="6"/>
        <v>CA</v>
      </c>
      <c r="O99">
        <f t="shared" si="7"/>
        <v>1670660</v>
      </c>
    </row>
    <row r="100" spans="1:15">
      <c r="A100" t="str">
        <f t="shared" si="4"/>
        <v>The Bill and Ginger Winder Family Foundation Inc</v>
      </c>
      <c r="B100" t="s">
        <v>80</v>
      </c>
      <c r="C100">
        <v>2022</v>
      </c>
      <c r="D100">
        <v>267725</v>
      </c>
      <c r="E100">
        <v>49292</v>
      </c>
      <c r="F100">
        <v>0</v>
      </c>
      <c r="G100">
        <v>0</v>
      </c>
      <c r="H100">
        <v>0</v>
      </c>
      <c r="I100">
        <v>0</v>
      </c>
      <c r="J100">
        <v>0</v>
      </c>
      <c r="K100">
        <v>0</v>
      </c>
      <c r="L100" t="str">
        <f t="shared" si="5"/>
        <v>San Diego</v>
      </c>
      <c r="M100" t="str">
        <f t="shared" si="6"/>
        <v>CA</v>
      </c>
      <c r="O100">
        <f t="shared" si="7"/>
        <v>1611057</v>
      </c>
    </row>
    <row r="101" spans="1:15">
      <c r="A101" t="str">
        <f t="shared" si="4"/>
        <v>The Bill and Ginger Winder Family Foundation Inc</v>
      </c>
      <c r="B101" t="s">
        <v>80</v>
      </c>
      <c r="C101">
        <v>2021</v>
      </c>
      <c r="D101">
        <v>280862</v>
      </c>
      <c r="E101">
        <v>45735</v>
      </c>
      <c r="F101">
        <v>0</v>
      </c>
      <c r="G101">
        <v>0</v>
      </c>
      <c r="H101">
        <v>0</v>
      </c>
      <c r="I101">
        <v>0</v>
      </c>
      <c r="J101">
        <v>0</v>
      </c>
      <c r="K101">
        <v>0</v>
      </c>
      <c r="L101" t="str">
        <f t="shared" si="5"/>
        <v>San Diego</v>
      </c>
      <c r="M101" t="str">
        <f t="shared" si="6"/>
        <v>CA</v>
      </c>
      <c r="O101">
        <f t="shared" si="7"/>
        <v>1611057</v>
      </c>
    </row>
    <row r="102" spans="1:15">
      <c r="A102" t="str">
        <f t="shared" si="4"/>
        <v>The Bill and Ginger Winder Family Foundation Inc</v>
      </c>
      <c r="B102" t="s">
        <v>80</v>
      </c>
      <c r="C102">
        <v>2020</v>
      </c>
      <c r="D102">
        <v>135073</v>
      </c>
      <c r="E102">
        <v>33377</v>
      </c>
      <c r="F102">
        <v>0</v>
      </c>
      <c r="G102">
        <v>0</v>
      </c>
      <c r="H102">
        <v>0</v>
      </c>
      <c r="I102">
        <v>0</v>
      </c>
      <c r="J102">
        <v>0</v>
      </c>
      <c r="K102">
        <v>0</v>
      </c>
      <c r="L102" t="str">
        <f t="shared" si="5"/>
        <v>San Diego</v>
      </c>
      <c r="M102" t="str">
        <f t="shared" si="6"/>
        <v>CA</v>
      </c>
      <c r="O102">
        <f t="shared" si="7"/>
        <v>1611057</v>
      </c>
    </row>
    <row r="103" spans="1:15">
      <c r="A103" t="str">
        <f t="shared" si="4"/>
        <v>The Bill and Ginger Winder Family Foundation Inc</v>
      </c>
      <c r="B103" t="s">
        <v>80</v>
      </c>
      <c r="C103">
        <v>2019</v>
      </c>
      <c r="D103">
        <v>30820</v>
      </c>
      <c r="E103">
        <v>15079</v>
      </c>
      <c r="F103">
        <v>0</v>
      </c>
      <c r="G103">
        <v>0</v>
      </c>
      <c r="H103">
        <v>0</v>
      </c>
      <c r="I103">
        <v>0</v>
      </c>
      <c r="J103">
        <v>0</v>
      </c>
      <c r="K103">
        <v>0</v>
      </c>
      <c r="L103" t="str">
        <f t="shared" si="5"/>
        <v>San Diego</v>
      </c>
      <c r="M103" t="str">
        <f t="shared" si="6"/>
        <v>CA</v>
      </c>
      <c r="O103">
        <f t="shared" si="7"/>
        <v>1611057</v>
      </c>
    </row>
    <row r="104" spans="1:15">
      <c r="A104" t="str">
        <f t="shared" si="4"/>
        <v>LITERACY FOR ENVIRONMENTAL JUSTICE</v>
      </c>
      <c r="B104" t="s">
        <v>82</v>
      </c>
      <c r="C104">
        <v>2022</v>
      </c>
      <c r="D104">
        <v>1456340</v>
      </c>
      <c r="E104">
        <v>1123941</v>
      </c>
      <c r="F104">
        <v>1402704</v>
      </c>
      <c r="G104">
        <v>40356</v>
      </c>
      <c r="H104">
        <v>462758</v>
      </c>
      <c r="I104">
        <v>125009</v>
      </c>
      <c r="J104">
        <v>818593</v>
      </c>
      <c r="K104">
        <v>0.96</v>
      </c>
      <c r="L104" t="str">
        <f t="shared" si="5"/>
        <v>San Francisco</v>
      </c>
      <c r="M104" t="str">
        <f t="shared" si="6"/>
        <v>CA</v>
      </c>
      <c r="O104">
        <f t="shared" si="7"/>
        <v>1607577</v>
      </c>
    </row>
    <row r="105" spans="1:15">
      <c r="A105" t="str">
        <f t="shared" si="4"/>
        <v>LITERACY FOR ENVIRONMENTAL JUSTICE</v>
      </c>
      <c r="B105" t="s">
        <v>82</v>
      </c>
      <c r="C105">
        <v>2021</v>
      </c>
      <c r="D105">
        <v>992611</v>
      </c>
      <c r="E105">
        <v>845145</v>
      </c>
      <c r="F105">
        <v>954643</v>
      </c>
      <c r="G105">
        <v>8639</v>
      </c>
      <c r="H105">
        <v>205596</v>
      </c>
      <c r="I105">
        <v>96710</v>
      </c>
      <c r="J105">
        <v>407389</v>
      </c>
      <c r="K105">
        <v>0.96</v>
      </c>
      <c r="L105" t="str">
        <f t="shared" si="5"/>
        <v>San Francisco</v>
      </c>
      <c r="M105" t="str">
        <f t="shared" si="6"/>
        <v>CA</v>
      </c>
      <c r="O105">
        <f t="shared" si="7"/>
        <v>1607577</v>
      </c>
    </row>
    <row r="106" spans="1:15">
      <c r="A106" t="str">
        <f t="shared" si="4"/>
        <v>LITERACY FOR ENVIRONMENTAL JUSTICE</v>
      </c>
      <c r="B106" t="s">
        <v>82</v>
      </c>
      <c r="C106">
        <v>2020</v>
      </c>
      <c r="D106">
        <v>863468</v>
      </c>
      <c r="E106">
        <v>831504</v>
      </c>
      <c r="F106">
        <v>839811</v>
      </c>
      <c r="G106">
        <v>11890</v>
      </c>
      <c r="H106">
        <v>352537</v>
      </c>
      <c r="I106">
        <v>91124</v>
      </c>
      <c r="J106">
        <v>225265</v>
      </c>
      <c r="K106">
        <v>0.97</v>
      </c>
      <c r="L106" t="str">
        <f t="shared" si="5"/>
        <v>San Francisco</v>
      </c>
      <c r="M106" t="str">
        <f t="shared" si="6"/>
        <v>CA</v>
      </c>
      <c r="O106">
        <f t="shared" si="7"/>
        <v>1607577</v>
      </c>
    </row>
    <row r="107" spans="1:15">
      <c r="A107" t="str">
        <f t="shared" si="4"/>
        <v>LITERACY FOR ENVIRONMENTAL JUSTICE</v>
      </c>
      <c r="B107" t="s">
        <v>82</v>
      </c>
      <c r="C107">
        <v>2019</v>
      </c>
      <c r="D107">
        <v>991792</v>
      </c>
      <c r="E107">
        <v>1065121</v>
      </c>
      <c r="F107">
        <v>933994</v>
      </c>
      <c r="G107">
        <v>40544</v>
      </c>
      <c r="H107">
        <v>422553</v>
      </c>
      <c r="I107">
        <v>86039</v>
      </c>
      <c r="J107">
        <v>202295</v>
      </c>
      <c r="K107">
        <v>0.94</v>
      </c>
      <c r="L107" t="str">
        <f t="shared" si="5"/>
        <v>San Francisco</v>
      </c>
      <c r="M107" t="str">
        <f t="shared" si="6"/>
        <v>CA</v>
      </c>
      <c r="O107">
        <f t="shared" si="7"/>
        <v>1607577</v>
      </c>
    </row>
    <row r="108" spans="1:15">
      <c r="A108" t="str">
        <f t="shared" si="4"/>
        <v>OCEANIC PRESERVATION SOCIETY</v>
      </c>
      <c r="B108" t="s">
        <v>85</v>
      </c>
      <c r="C108">
        <v>2022</v>
      </c>
      <c r="D108">
        <v>635357</v>
      </c>
      <c r="E108">
        <v>1156659</v>
      </c>
      <c r="F108">
        <v>390258</v>
      </c>
      <c r="G108">
        <v>243430</v>
      </c>
      <c r="H108">
        <v>35105</v>
      </c>
      <c r="I108">
        <v>312319</v>
      </c>
      <c r="J108">
        <v>1092272</v>
      </c>
      <c r="K108">
        <v>0.61</v>
      </c>
      <c r="L108" t="str">
        <f t="shared" si="5"/>
        <v>Greenbrae</v>
      </c>
      <c r="M108" t="str">
        <f t="shared" si="6"/>
        <v>CA</v>
      </c>
      <c r="O108">
        <f t="shared" si="7"/>
        <v>1602872</v>
      </c>
    </row>
    <row r="109" spans="1:15">
      <c r="A109" t="str">
        <f t="shared" si="4"/>
        <v>OCEANIC PRESERVATION SOCIETY</v>
      </c>
      <c r="B109" t="s">
        <v>85</v>
      </c>
      <c r="C109">
        <v>2021</v>
      </c>
      <c r="D109">
        <v>1617995</v>
      </c>
      <c r="E109">
        <v>1411389</v>
      </c>
      <c r="F109">
        <v>1267452</v>
      </c>
      <c r="G109">
        <v>350418</v>
      </c>
      <c r="H109">
        <v>51356</v>
      </c>
      <c r="I109">
        <v>241656</v>
      </c>
      <c r="J109">
        <v>1613574</v>
      </c>
      <c r="K109">
        <v>0.78</v>
      </c>
      <c r="L109" t="str">
        <f t="shared" si="5"/>
        <v>Greenbrae</v>
      </c>
      <c r="M109" t="str">
        <f t="shared" si="6"/>
        <v>CA</v>
      </c>
      <c r="O109">
        <f t="shared" si="7"/>
        <v>1602872</v>
      </c>
    </row>
    <row r="110" spans="1:15">
      <c r="A110" t="str">
        <f t="shared" si="4"/>
        <v>OCEANIC PRESERVATION SOCIETY</v>
      </c>
      <c r="B110" t="s">
        <v>85</v>
      </c>
      <c r="C110">
        <v>2020</v>
      </c>
      <c r="D110">
        <v>1878207</v>
      </c>
      <c r="E110">
        <v>495857</v>
      </c>
      <c r="F110">
        <v>1737003</v>
      </c>
      <c r="G110">
        <v>140954</v>
      </c>
      <c r="H110">
        <v>138461</v>
      </c>
      <c r="I110">
        <v>0</v>
      </c>
      <c r="J110">
        <v>1406967</v>
      </c>
      <c r="K110">
        <v>0.92</v>
      </c>
      <c r="L110" t="str">
        <f t="shared" si="5"/>
        <v>Greenbrae</v>
      </c>
      <c r="M110" t="str">
        <f t="shared" si="6"/>
        <v>CA</v>
      </c>
      <c r="O110">
        <f t="shared" si="7"/>
        <v>1602872</v>
      </c>
    </row>
    <row r="111" spans="1:15">
      <c r="A111" t="str">
        <f t="shared" si="4"/>
        <v>OCEANIC PRESERVATION SOCIETY</v>
      </c>
      <c r="B111" t="s">
        <v>85</v>
      </c>
      <c r="C111">
        <v>2019</v>
      </c>
      <c r="D111">
        <v>2343503</v>
      </c>
      <c r="E111">
        <v>2482620</v>
      </c>
      <c r="F111">
        <v>1780829</v>
      </c>
      <c r="G111">
        <v>558212</v>
      </c>
      <c r="H111">
        <v>262284</v>
      </c>
      <c r="I111">
        <v>0</v>
      </c>
      <c r="J111">
        <v>-41788</v>
      </c>
      <c r="K111">
        <v>0.76</v>
      </c>
      <c r="L111" t="str">
        <f t="shared" si="5"/>
        <v>Greenbrae</v>
      </c>
      <c r="M111" t="str">
        <f t="shared" si="6"/>
        <v>CA</v>
      </c>
      <c r="O111">
        <f t="shared" si="7"/>
        <v>1602872</v>
      </c>
    </row>
    <row r="112" spans="1:15">
      <c r="A112" t="str">
        <f t="shared" si="4"/>
        <v>Call of the Sea</v>
      </c>
      <c r="B112" t="s">
        <v>87</v>
      </c>
      <c r="C112">
        <v>2022</v>
      </c>
      <c r="D112">
        <v>1890507</v>
      </c>
      <c r="E112">
        <v>1456490</v>
      </c>
      <c r="F112">
        <v>1296014</v>
      </c>
      <c r="G112">
        <v>606914</v>
      </c>
      <c r="H112">
        <v>524362</v>
      </c>
      <c r="I112">
        <v>113077</v>
      </c>
      <c r="J112">
        <v>6155016</v>
      </c>
      <c r="K112">
        <v>0.69</v>
      </c>
      <c r="L112" t="str">
        <f t="shared" si="5"/>
        <v>Sausalito</v>
      </c>
      <c r="M112" t="str">
        <f t="shared" si="6"/>
        <v>CA</v>
      </c>
      <c r="O112">
        <f t="shared" si="7"/>
        <v>1572244</v>
      </c>
    </row>
    <row r="113" spans="1:15">
      <c r="A113" t="str">
        <f t="shared" si="4"/>
        <v>Call of the Sea</v>
      </c>
      <c r="B113" t="s">
        <v>87</v>
      </c>
      <c r="C113">
        <v>2021</v>
      </c>
      <c r="D113">
        <v>1453610</v>
      </c>
      <c r="E113">
        <v>892362</v>
      </c>
      <c r="F113">
        <v>1052361</v>
      </c>
      <c r="G113">
        <v>400334</v>
      </c>
      <c r="H113">
        <v>351837</v>
      </c>
      <c r="I113">
        <v>0</v>
      </c>
      <c r="J113">
        <v>5720999</v>
      </c>
      <c r="K113">
        <v>0.72</v>
      </c>
      <c r="L113" t="str">
        <f t="shared" si="5"/>
        <v>Sausalito</v>
      </c>
      <c r="M113" t="str">
        <f t="shared" si="6"/>
        <v>CA</v>
      </c>
      <c r="O113">
        <f t="shared" si="7"/>
        <v>1572244</v>
      </c>
    </row>
    <row r="114" spans="1:15">
      <c r="A114" t="str">
        <f t="shared" si="4"/>
        <v>Call of the Sea</v>
      </c>
      <c r="B114" t="s">
        <v>87</v>
      </c>
      <c r="C114">
        <v>2020</v>
      </c>
      <c r="D114">
        <v>756354</v>
      </c>
      <c r="E114">
        <v>910345</v>
      </c>
      <c r="F114">
        <v>502457</v>
      </c>
      <c r="G114">
        <v>253897</v>
      </c>
      <c r="H114">
        <v>356727</v>
      </c>
      <c r="I114">
        <v>27323</v>
      </c>
      <c r="J114">
        <v>5159751</v>
      </c>
      <c r="K114">
        <v>0.66</v>
      </c>
      <c r="L114" t="str">
        <f t="shared" si="5"/>
        <v>Sausalito</v>
      </c>
      <c r="M114" t="str">
        <f t="shared" si="6"/>
        <v>CA</v>
      </c>
      <c r="O114">
        <f t="shared" si="7"/>
        <v>1572244</v>
      </c>
    </row>
    <row r="115" spans="1:15">
      <c r="A115" t="str">
        <f t="shared" si="4"/>
        <v>Call of the Sea</v>
      </c>
      <c r="B115" t="s">
        <v>87</v>
      </c>
      <c r="C115">
        <v>2019</v>
      </c>
      <c r="D115">
        <v>1366267</v>
      </c>
      <c r="E115">
        <v>1041839</v>
      </c>
      <c r="F115">
        <v>1086101</v>
      </c>
      <c r="G115">
        <v>230329</v>
      </c>
      <c r="H115">
        <v>432857</v>
      </c>
      <c r="I115">
        <v>31320</v>
      </c>
      <c r="J115">
        <v>5360819</v>
      </c>
      <c r="K115">
        <v>0.79</v>
      </c>
      <c r="L115" t="str">
        <f t="shared" si="5"/>
        <v>Sausalito</v>
      </c>
      <c r="M115" t="str">
        <f t="shared" si="6"/>
        <v>CA</v>
      </c>
      <c r="O115">
        <f t="shared" si="7"/>
        <v>1572244</v>
      </c>
    </row>
    <row r="116" spans="1:15">
      <c r="A116" t="str">
        <f t="shared" si="4"/>
        <v>SAN FRANCISCO BAY BIRD OBSERVATORY</v>
      </c>
      <c r="B116" t="s">
        <v>89</v>
      </c>
      <c r="C116">
        <v>2022</v>
      </c>
      <c r="D116">
        <v>1106867</v>
      </c>
      <c r="E116">
        <v>1263695</v>
      </c>
      <c r="F116">
        <v>673090</v>
      </c>
      <c r="G116">
        <v>433777</v>
      </c>
      <c r="H116">
        <v>738005</v>
      </c>
      <c r="I116">
        <v>81115</v>
      </c>
      <c r="J116">
        <v>283127</v>
      </c>
      <c r="K116">
        <v>0.61</v>
      </c>
      <c r="L116" t="str">
        <f t="shared" si="5"/>
        <v>Milpitas</v>
      </c>
      <c r="M116" t="str">
        <f t="shared" si="6"/>
        <v>CA</v>
      </c>
      <c r="O116">
        <f t="shared" si="7"/>
        <v>1288654</v>
      </c>
    </row>
    <row r="117" spans="1:15">
      <c r="A117" t="str">
        <f t="shared" si="4"/>
        <v>SAN FRANCISCO BAY BIRD OBSERVATORY</v>
      </c>
      <c r="B117" t="s">
        <v>89</v>
      </c>
      <c r="C117">
        <v>2021</v>
      </c>
      <c r="D117">
        <v>1288643</v>
      </c>
      <c r="E117">
        <v>987438</v>
      </c>
      <c r="F117">
        <v>920177</v>
      </c>
      <c r="G117">
        <v>368466</v>
      </c>
      <c r="H117">
        <v>529046</v>
      </c>
      <c r="I117">
        <v>84822</v>
      </c>
      <c r="J117">
        <v>504223</v>
      </c>
      <c r="K117">
        <v>0.71</v>
      </c>
      <c r="L117" t="str">
        <f t="shared" si="5"/>
        <v>Milpitas</v>
      </c>
      <c r="M117" t="str">
        <f t="shared" si="6"/>
        <v>CA</v>
      </c>
      <c r="O117">
        <f t="shared" si="7"/>
        <v>1288654</v>
      </c>
    </row>
    <row r="118" spans="1:15">
      <c r="A118" t="str">
        <f t="shared" si="4"/>
        <v>SAN FRANCISCO BAY BIRD OBSERVATORY</v>
      </c>
      <c r="B118" t="s">
        <v>89</v>
      </c>
      <c r="C118">
        <v>2020</v>
      </c>
      <c r="D118">
        <v>896261</v>
      </c>
      <c r="E118">
        <v>906015</v>
      </c>
      <c r="F118">
        <v>638586</v>
      </c>
      <c r="G118">
        <v>257675</v>
      </c>
      <c r="H118">
        <v>455003</v>
      </c>
      <c r="I118">
        <v>71981</v>
      </c>
      <c r="J118">
        <v>203018</v>
      </c>
      <c r="K118">
        <v>0.71</v>
      </c>
      <c r="L118" t="str">
        <f t="shared" si="5"/>
        <v>Milpitas</v>
      </c>
      <c r="M118" t="str">
        <f t="shared" si="6"/>
        <v>CA</v>
      </c>
      <c r="O118">
        <f t="shared" si="7"/>
        <v>1288654</v>
      </c>
    </row>
    <row r="119" spans="1:15">
      <c r="A119" t="str">
        <f t="shared" si="4"/>
        <v>SAN FRANCISCO BAY BIRD OBSERVATORY</v>
      </c>
      <c r="B119" t="s">
        <v>89</v>
      </c>
      <c r="C119">
        <v>2019</v>
      </c>
      <c r="D119">
        <v>1037549</v>
      </c>
      <c r="E119">
        <v>1004118</v>
      </c>
      <c r="F119">
        <v>781772</v>
      </c>
      <c r="G119">
        <v>255412</v>
      </c>
      <c r="H119">
        <v>474773</v>
      </c>
      <c r="I119">
        <v>68904</v>
      </c>
      <c r="J119">
        <v>212772</v>
      </c>
      <c r="K119">
        <v>0.75</v>
      </c>
      <c r="L119" t="str">
        <f t="shared" si="5"/>
        <v>Milpitas</v>
      </c>
      <c r="M119" t="str">
        <f t="shared" si="6"/>
        <v>CA</v>
      </c>
      <c r="O119">
        <f t="shared" si="7"/>
        <v>1288654</v>
      </c>
    </row>
    <row r="120" spans="1:15">
      <c r="A120" t="str">
        <f t="shared" si="4"/>
        <v>Save California Salmon</v>
      </c>
      <c r="B120" t="s">
        <v>92</v>
      </c>
      <c r="C120">
        <v>2022</v>
      </c>
      <c r="D120">
        <v>1009826</v>
      </c>
      <c r="E120">
        <v>335264</v>
      </c>
      <c r="F120">
        <v>1009826</v>
      </c>
      <c r="G120">
        <v>0</v>
      </c>
      <c r="H120">
        <v>123136</v>
      </c>
      <c r="I120">
        <v>52195</v>
      </c>
      <c r="J120">
        <v>674563</v>
      </c>
      <c r="K120">
        <v>1</v>
      </c>
      <c r="L120" t="str">
        <f t="shared" si="5"/>
        <v>Orleans</v>
      </c>
      <c r="M120" t="str">
        <f t="shared" si="6"/>
        <v>CA</v>
      </c>
      <c r="O120">
        <f t="shared" si="7"/>
        <v>1009826</v>
      </c>
    </row>
    <row r="121" spans="1:15">
      <c r="A121" t="str">
        <f t="shared" si="4"/>
        <v>GREENACTION FOR HEALTH AND ENVIRONMENTAL JUSTICE</v>
      </c>
      <c r="B121" t="s">
        <v>95</v>
      </c>
      <c r="C121">
        <v>2021</v>
      </c>
      <c r="D121">
        <v>793224</v>
      </c>
      <c r="E121">
        <v>683457</v>
      </c>
      <c r="F121">
        <v>792765</v>
      </c>
      <c r="G121">
        <v>459</v>
      </c>
      <c r="H121">
        <v>281642</v>
      </c>
      <c r="I121">
        <v>65000</v>
      </c>
      <c r="J121">
        <v>332086</v>
      </c>
      <c r="K121">
        <v>1</v>
      </c>
      <c r="L121" t="str">
        <f t="shared" si="5"/>
        <v>San Francisco</v>
      </c>
      <c r="M121" t="str">
        <f t="shared" si="6"/>
        <v>CA</v>
      </c>
      <c r="O121">
        <f t="shared" si="7"/>
        <v>834626</v>
      </c>
    </row>
    <row r="122" spans="1:15">
      <c r="A122" t="str">
        <f t="shared" si="4"/>
        <v>GREENACTION FOR HEALTH AND ENVIRONMENTAL JUSTICE</v>
      </c>
      <c r="B122" t="s">
        <v>95</v>
      </c>
      <c r="C122">
        <v>2020</v>
      </c>
      <c r="D122">
        <v>1120858</v>
      </c>
      <c r="E122">
        <v>787002</v>
      </c>
      <c r="F122">
        <v>1120714</v>
      </c>
      <c r="G122">
        <v>144</v>
      </c>
      <c r="H122">
        <v>379932</v>
      </c>
      <c r="I122">
        <v>60000</v>
      </c>
      <c r="J122">
        <v>1051735</v>
      </c>
      <c r="K122">
        <v>1</v>
      </c>
      <c r="L122" t="str">
        <f t="shared" si="5"/>
        <v>San Francisco</v>
      </c>
      <c r="M122" t="str">
        <f t="shared" si="6"/>
        <v>CA</v>
      </c>
      <c r="O122">
        <f t="shared" si="7"/>
        <v>834626</v>
      </c>
    </row>
    <row r="123" spans="1:15">
      <c r="A123" t="str">
        <f t="shared" si="4"/>
        <v>GREENACTION FOR HEALTH AND ENVIRONMENTAL JUSTICE</v>
      </c>
      <c r="B123" t="s">
        <v>95</v>
      </c>
      <c r="C123">
        <v>2019</v>
      </c>
      <c r="D123">
        <v>702895</v>
      </c>
      <c r="E123">
        <v>695926</v>
      </c>
      <c r="F123">
        <v>702717</v>
      </c>
      <c r="G123">
        <v>178</v>
      </c>
      <c r="H123">
        <v>0</v>
      </c>
      <c r="I123">
        <v>60000</v>
      </c>
      <c r="J123">
        <v>290221</v>
      </c>
      <c r="K123">
        <v>1</v>
      </c>
      <c r="L123" t="str">
        <f t="shared" si="5"/>
        <v>San Francisco</v>
      </c>
      <c r="M123" t="str">
        <f t="shared" si="6"/>
        <v>CA</v>
      </c>
      <c r="O123">
        <f t="shared" si="7"/>
        <v>834626</v>
      </c>
    </row>
    <row r="124" spans="1:15">
      <c r="A124" t="str">
        <f t="shared" si="4"/>
        <v>ENDANGERED SPECIES INTERNATIONAL</v>
      </c>
      <c r="B124" t="s">
        <v>97</v>
      </c>
      <c r="C124">
        <v>2022</v>
      </c>
      <c r="D124">
        <v>157647</v>
      </c>
      <c r="E124">
        <v>56678</v>
      </c>
      <c r="F124">
        <v>0</v>
      </c>
      <c r="G124">
        <v>0</v>
      </c>
      <c r="H124">
        <v>0</v>
      </c>
      <c r="I124">
        <v>0</v>
      </c>
      <c r="J124">
        <v>0</v>
      </c>
      <c r="K124">
        <v>0</v>
      </c>
      <c r="L124" t="str">
        <f t="shared" si="5"/>
        <v>San Francisco</v>
      </c>
      <c r="M124" t="str">
        <f t="shared" si="6"/>
        <v>CA</v>
      </c>
      <c r="O124">
        <f t="shared" si="7"/>
        <v>160893</v>
      </c>
    </row>
    <row r="125" spans="1:15">
      <c r="A125" t="str">
        <f t="shared" si="4"/>
        <v>ENDANGERED SPECIES INTERNATIONAL</v>
      </c>
      <c r="B125" t="s">
        <v>97</v>
      </c>
      <c r="C125">
        <v>2021</v>
      </c>
      <c r="D125">
        <v>243609</v>
      </c>
      <c r="E125">
        <v>63258</v>
      </c>
      <c r="F125">
        <v>243609</v>
      </c>
      <c r="G125">
        <v>0</v>
      </c>
      <c r="H125">
        <v>0</v>
      </c>
      <c r="I125">
        <v>0</v>
      </c>
      <c r="J125">
        <v>374705</v>
      </c>
      <c r="K125">
        <v>1</v>
      </c>
      <c r="L125" t="str">
        <f t="shared" si="5"/>
        <v>San Francisco</v>
      </c>
      <c r="M125" t="str">
        <f t="shared" si="6"/>
        <v>CA</v>
      </c>
      <c r="O125">
        <f t="shared" si="7"/>
        <v>160893</v>
      </c>
    </row>
    <row r="126" spans="1:15">
      <c r="A126" t="str">
        <f t="shared" si="4"/>
        <v>ENDANGERED SPECIES INTERNATIONAL</v>
      </c>
      <c r="B126" t="s">
        <v>97</v>
      </c>
      <c r="C126">
        <v>2020</v>
      </c>
      <c r="D126">
        <v>132993</v>
      </c>
      <c r="E126">
        <v>63602</v>
      </c>
      <c r="F126">
        <v>0</v>
      </c>
      <c r="G126">
        <v>0</v>
      </c>
      <c r="H126">
        <v>0</v>
      </c>
      <c r="I126">
        <v>0</v>
      </c>
      <c r="J126">
        <v>0</v>
      </c>
      <c r="K126">
        <v>0</v>
      </c>
      <c r="L126" t="str">
        <f t="shared" si="5"/>
        <v>San Francisco</v>
      </c>
      <c r="M126" t="str">
        <f t="shared" si="6"/>
        <v>CA</v>
      </c>
      <c r="O126">
        <f t="shared" si="7"/>
        <v>160893</v>
      </c>
    </row>
    <row r="127" spans="1:15">
      <c r="A127" t="str">
        <f t="shared" si="4"/>
        <v>The Hydrous</v>
      </c>
      <c r="B127" t="s">
        <v>99</v>
      </c>
      <c r="C127">
        <v>2022</v>
      </c>
      <c r="D127">
        <v>90414</v>
      </c>
      <c r="E127">
        <v>544133</v>
      </c>
      <c r="F127">
        <v>0</v>
      </c>
      <c r="G127">
        <v>0</v>
      </c>
      <c r="H127">
        <v>0</v>
      </c>
      <c r="I127">
        <v>0</v>
      </c>
      <c r="J127">
        <v>0</v>
      </c>
      <c r="K127">
        <v>0</v>
      </c>
      <c r="L127" t="str">
        <f t="shared" si="5"/>
        <v>San Francisco</v>
      </c>
      <c r="M127" t="str">
        <f t="shared" si="6"/>
        <v>CA</v>
      </c>
      <c r="O127">
        <f t="shared" si="7"/>
        <v>132973</v>
      </c>
    </row>
    <row r="128" spans="1:15">
      <c r="A128" t="str">
        <f t="shared" si="4"/>
        <v>The Hydrous</v>
      </c>
      <c r="B128" t="s">
        <v>99</v>
      </c>
      <c r="C128">
        <v>2021</v>
      </c>
      <c r="D128">
        <v>1052631</v>
      </c>
      <c r="E128">
        <v>357072</v>
      </c>
      <c r="F128">
        <v>0</v>
      </c>
      <c r="G128">
        <v>0</v>
      </c>
      <c r="H128">
        <v>0</v>
      </c>
      <c r="I128">
        <v>0</v>
      </c>
      <c r="J128">
        <v>0</v>
      </c>
      <c r="K128">
        <v>0</v>
      </c>
      <c r="L128" t="str">
        <f t="shared" si="5"/>
        <v>San Francisco</v>
      </c>
      <c r="M128" t="str">
        <f t="shared" si="6"/>
        <v>CA</v>
      </c>
      <c r="O128">
        <f t="shared" si="7"/>
        <v>132973</v>
      </c>
    </row>
    <row r="129" spans="1:15">
      <c r="A129" t="str">
        <f t="shared" si="4"/>
        <v>The Hydrous</v>
      </c>
      <c r="B129" t="s">
        <v>99</v>
      </c>
      <c r="C129">
        <v>2020</v>
      </c>
      <c r="D129">
        <v>180968</v>
      </c>
      <c r="E129">
        <v>126370</v>
      </c>
      <c r="F129">
        <v>0</v>
      </c>
      <c r="G129">
        <v>0</v>
      </c>
      <c r="H129">
        <v>0</v>
      </c>
      <c r="I129">
        <v>0</v>
      </c>
      <c r="J129">
        <v>0</v>
      </c>
      <c r="K129">
        <v>0</v>
      </c>
      <c r="L129" t="str">
        <f t="shared" si="5"/>
        <v>San Francisco</v>
      </c>
      <c r="M129" t="str">
        <f t="shared" si="6"/>
        <v>CA</v>
      </c>
      <c r="O129">
        <f t="shared" si="7"/>
        <v>132973</v>
      </c>
    </row>
    <row r="130" spans="1:15">
      <c r="A130" t="str">
        <f t="shared" si="4"/>
        <v>The Hydrous</v>
      </c>
      <c r="B130" t="s">
        <v>99</v>
      </c>
      <c r="C130">
        <v>2019</v>
      </c>
      <c r="D130">
        <v>115019</v>
      </c>
      <c r="E130">
        <v>164778</v>
      </c>
      <c r="F130">
        <v>0</v>
      </c>
      <c r="G130">
        <v>0</v>
      </c>
      <c r="H130">
        <v>0</v>
      </c>
      <c r="I130">
        <v>0</v>
      </c>
      <c r="J130">
        <v>0</v>
      </c>
      <c r="K130">
        <v>0</v>
      </c>
      <c r="L130" t="str">
        <f t="shared" si="5"/>
        <v>San Francisco</v>
      </c>
      <c r="M130" t="str">
        <f t="shared" si="6"/>
        <v>CA</v>
      </c>
      <c r="O130">
        <f t="shared" si="7"/>
        <v>132973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C584-04BD-479A-9F0F-2746F103DFA4}">
  <dimension ref="A1:L37"/>
  <sheetViews>
    <sheetView topLeftCell="A4" workbookViewId="0">
      <selection activeCell="F8" sqref="F8"/>
    </sheetView>
  </sheetViews>
  <sheetFormatPr defaultRowHeight="15"/>
  <cols>
    <col min="1" max="1" width="53.28515625" bestFit="1" customWidth="1"/>
    <col min="2" max="2" width="20.85546875" bestFit="1" customWidth="1"/>
    <col min="6" max="6" width="20.5703125" bestFit="1" customWidth="1"/>
    <col min="7" max="7" width="8.28515625" bestFit="1" customWidth="1"/>
    <col min="9" max="9" width="11" bestFit="1" customWidth="1"/>
    <col min="10" max="10" width="14.42578125" bestFit="1" customWidth="1"/>
    <col min="11" max="11" width="13.85546875" bestFit="1" customWidth="1"/>
    <col min="12" max="12" width="25" bestFit="1" customWidth="1"/>
    <col min="13" max="13" width="14.85546875" customWidth="1"/>
  </cols>
  <sheetData>
    <row r="1" spans="1:12">
      <c r="A1" s="21" t="s">
        <v>109</v>
      </c>
      <c r="B1" s="22">
        <v>2022</v>
      </c>
    </row>
    <row r="3" spans="1:12">
      <c r="A3" s="21" t="s">
        <v>628</v>
      </c>
      <c r="B3" t="s">
        <v>640</v>
      </c>
    </row>
    <row r="4" spans="1:12">
      <c r="A4" s="22" t="s">
        <v>55</v>
      </c>
      <c r="B4" s="23">
        <v>39881</v>
      </c>
    </row>
    <row r="5" spans="1:12">
      <c r="A5" s="22" t="s">
        <v>53</v>
      </c>
      <c r="B5" s="23">
        <v>61683</v>
      </c>
    </row>
    <row r="6" spans="1:12">
      <c r="A6" s="22" t="s">
        <v>58</v>
      </c>
      <c r="B6" s="23">
        <v>81624</v>
      </c>
    </row>
    <row r="7" spans="1:12">
      <c r="A7" s="22" t="s">
        <v>98</v>
      </c>
      <c r="B7" s="23">
        <v>90414</v>
      </c>
    </row>
    <row r="8" spans="1:12">
      <c r="A8" s="22" t="s">
        <v>61</v>
      </c>
      <c r="B8" s="23">
        <v>92251</v>
      </c>
    </row>
    <row r="9" spans="1:12">
      <c r="A9" s="22" t="s">
        <v>47</v>
      </c>
      <c r="B9" s="23">
        <v>134671</v>
      </c>
    </row>
    <row r="10" spans="1:12">
      <c r="A10" s="22" t="s">
        <v>33</v>
      </c>
      <c r="B10" s="23">
        <v>135164</v>
      </c>
    </row>
    <row r="11" spans="1:12">
      <c r="A11" s="22" t="s">
        <v>64</v>
      </c>
      <c r="B11" s="23">
        <v>152553</v>
      </c>
      <c r="F11" s="2" t="s">
        <v>0</v>
      </c>
      <c r="G11" s="2" t="s">
        <v>641</v>
      </c>
      <c r="H11" s="2" t="s">
        <v>642</v>
      </c>
      <c r="I11" s="2" t="s">
        <v>643</v>
      </c>
      <c r="J11" s="2" t="s">
        <v>647</v>
      </c>
      <c r="K11" s="2" t="s">
        <v>648</v>
      </c>
    </row>
    <row r="12" spans="1:12">
      <c r="A12" s="22" t="s">
        <v>96</v>
      </c>
      <c r="B12" s="23">
        <v>157647</v>
      </c>
      <c r="F12" t="s">
        <v>644</v>
      </c>
      <c r="L12" t="s">
        <v>649</v>
      </c>
    </row>
    <row r="13" spans="1:12">
      <c r="A13" s="22" t="s">
        <v>44</v>
      </c>
      <c r="B13" s="23">
        <v>166816</v>
      </c>
      <c r="F13" t="s">
        <v>645</v>
      </c>
      <c r="L13" t="s">
        <v>650</v>
      </c>
    </row>
    <row r="14" spans="1:12">
      <c r="A14" s="22" t="s">
        <v>10</v>
      </c>
      <c r="B14" s="23">
        <v>197770</v>
      </c>
      <c r="C14" s="20"/>
      <c r="F14" t="s">
        <v>646</v>
      </c>
      <c r="L14" t="s">
        <v>651</v>
      </c>
    </row>
    <row r="15" spans="1:12">
      <c r="A15" s="22" t="s">
        <v>618</v>
      </c>
      <c r="B15" s="23">
        <v>206452</v>
      </c>
      <c r="C15" s="20"/>
      <c r="L15" t="s">
        <v>652</v>
      </c>
    </row>
    <row r="16" spans="1:12">
      <c r="A16" s="22" t="s">
        <v>50</v>
      </c>
      <c r="B16" s="23">
        <v>241948</v>
      </c>
      <c r="C16" s="20"/>
    </row>
    <row r="17" spans="1:3">
      <c r="A17" s="22" t="s">
        <v>14</v>
      </c>
      <c r="B17" s="23">
        <v>254868</v>
      </c>
      <c r="C17" s="20"/>
    </row>
    <row r="18" spans="1:3">
      <c r="A18" s="22" t="s">
        <v>79</v>
      </c>
      <c r="B18" s="23">
        <v>267725</v>
      </c>
      <c r="C18" s="20"/>
    </row>
    <row r="19" spans="1:3">
      <c r="A19" s="22" t="s">
        <v>41</v>
      </c>
      <c r="B19" s="23">
        <v>288191</v>
      </c>
      <c r="C19" s="20"/>
    </row>
    <row r="20" spans="1:3">
      <c r="A20" s="22" t="s">
        <v>36</v>
      </c>
      <c r="B20" s="23">
        <v>294504</v>
      </c>
      <c r="C20" s="20"/>
    </row>
    <row r="21" spans="1:3">
      <c r="A21" s="22" t="s">
        <v>24</v>
      </c>
      <c r="B21" s="23">
        <v>452975</v>
      </c>
    </row>
    <row r="22" spans="1:3">
      <c r="A22" s="22" t="s">
        <v>19</v>
      </c>
      <c r="B22" s="23">
        <v>492123</v>
      </c>
    </row>
    <row r="23" spans="1:3">
      <c r="A23" s="22" t="s">
        <v>21</v>
      </c>
      <c r="B23" s="23">
        <v>565104</v>
      </c>
    </row>
    <row r="24" spans="1:3">
      <c r="A24" s="22" t="s">
        <v>30</v>
      </c>
      <c r="B24" s="23">
        <v>622914</v>
      </c>
    </row>
    <row r="25" spans="1:3">
      <c r="A25" s="22" t="s">
        <v>83</v>
      </c>
      <c r="B25" s="23">
        <v>635357</v>
      </c>
    </row>
    <row r="26" spans="1:3">
      <c r="A26" s="22" t="s">
        <v>27</v>
      </c>
      <c r="B26" s="23">
        <v>770667</v>
      </c>
    </row>
    <row r="27" spans="1:3">
      <c r="A27" s="22" t="s">
        <v>5</v>
      </c>
      <c r="B27" s="23">
        <v>830209</v>
      </c>
    </row>
    <row r="28" spans="1:3">
      <c r="A28" s="22" t="s">
        <v>75</v>
      </c>
      <c r="B28" s="23">
        <v>941249</v>
      </c>
    </row>
    <row r="29" spans="1:3">
      <c r="A29" s="22" t="s">
        <v>91</v>
      </c>
      <c r="B29" s="23">
        <v>1009826</v>
      </c>
    </row>
    <row r="30" spans="1:3">
      <c r="A30" s="22" t="s">
        <v>12</v>
      </c>
      <c r="B30" s="23">
        <v>1099353</v>
      </c>
    </row>
    <row r="31" spans="1:3">
      <c r="A31" s="22" t="s">
        <v>88</v>
      </c>
      <c r="B31" s="23">
        <v>1106867</v>
      </c>
    </row>
    <row r="32" spans="1:3">
      <c r="A32" s="22" t="s">
        <v>77</v>
      </c>
      <c r="B32" s="23">
        <v>1197314</v>
      </c>
    </row>
    <row r="33" spans="1:2">
      <c r="A33" s="22" t="s">
        <v>81</v>
      </c>
      <c r="B33" s="23">
        <v>1456340</v>
      </c>
    </row>
    <row r="34" spans="1:2">
      <c r="A34" s="22" t="s">
        <v>86</v>
      </c>
      <c r="B34" s="23">
        <v>1890507</v>
      </c>
    </row>
    <row r="35" spans="1:2">
      <c r="A35" s="22" t="s">
        <v>73</v>
      </c>
      <c r="B35" s="23">
        <v>1936406</v>
      </c>
    </row>
    <row r="36" spans="1:2">
      <c r="A36" s="22" t="s">
        <v>70</v>
      </c>
      <c r="B36" s="23">
        <v>2570056</v>
      </c>
    </row>
    <row r="37" spans="1:2">
      <c r="A37" s="22" t="s">
        <v>629</v>
      </c>
      <c r="B37">
        <v>20441429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03EB-BC0D-45E5-98C1-2929ED2B07DE}">
  <sheetPr>
    <tabColor rgb="FF92D050"/>
  </sheetPr>
  <dimension ref="A1:O140"/>
  <sheetViews>
    <sheetView tabSelected="1" topLeftCell="B1" workbookViewId="0">
      <pane ySplit="1" topLeftCell="A91" activePane="bottomLeft" state="frozen"/>
      <selection pane="bottomLeft" activeCell="G1" sqref="G1:G1048576"/>
    </sheetView>
  </sheetViews>
  <sheetFormatPr defaultRowHeight="15"/>
  <cols>
    <col min="1" max="1" width="10.7109375" bestFit="1" customWidth="1"/>
    <col min="2" max="2" width="53.28515625" bestFit="1" customWidth="1"/>
    <col min="3" max="3" width="19.140625" bestFit="1" customWidth="1"/>
    <col min="4" max="4" width="5.28515625" bestFit="1" customWidth="1"/>
    <col min="5" max="5" width="10.5703125" bestFit="1" customWidth="1"/>
    <col min="6" max="6" width="23.5703125" bestFit="1" customWidth="1"/>
    <col min="7" max="7" width="13.7109375" bestFit="1" customWidth="1"/>
    <col min="8" max="8" width="13.28515625" bestFit="1" customWidth="1"/>
    <col min="9" max="9" width="22" bestFit="1" customWidth="1"/>
    <col min="10" max="10" width="23.7109375" bestFit="1" customWidth="1"/>
    <col min="11" max="11" width="24" bestFit="1" customWidth="1"/>
    <col min="12" max="12" width="14.140625" bestFit="1" customWidth="1"/>
    <col min="13" max="13" width="16.140625" bestFit="1" customWidth="1"/>
    <col min="14" max="14" width="14.140625" bestFit="1" customWidth="1"/>
    <col min="15" max="15" width="12.28515625" bestFit="1" customWidth="1"/>
  </cols>
  <sheetData>
    <row r="1" spans="1:15" s="2" customFormat="1">
      <c r="A1" s="2" t="s">
        <v>16</v>
      </c>
      <c r="B1" s="2" t="s">
        <v>0</v>
      </c>
      <c r="C1" s="2" t="s">
        <v>3</v>
      </c>
      <c r="D1" s="2" t="s">
        <v>4</v>
      </c>
      <c r="E1" s="2" t="s">
        <v>109</v>
      </c>
      <c r="F1" s="2" t="s">
        <v>112</v>
      </c>
      <c r="G1" s="2" t="s">
        <v>105</v>
      </c>
      <c r="H1" s="2" t="s">
        <v>113</v>
      </c>
      <c r="I1" s="2" t="s">
        <v>114</v>
      </c>
      <c r="J1" s="2" t="s">
        <v>115</v>
      </c>
      <c r="K1" s="2" t="s">
        <v>116</v>
      </c>
      <c r="L1" s="2" t="s">
        <v>117</v>
      </c>
      <c r="M1" s="2" t="s">
        <v>118</v>
      </c>
      <c r="N1" s="2" t="s">
        <v>1</v>
      </c>
      <c r="O1" s="2" t="s">
        <v>119</v>
      </c>
    </row>
    <row r="2" spans="1:15">
      <c r="A2" t="s">
        <v>101</v>
      </c>
      <c r="B2" t="s">
        <v>5</v>
      </c>
      <c r="C2" t="s">
        <v>7</v>
      </c>
      <c r="D2" t="s">
        <v>6</v>
      </c>
      <c r="E2">
        <v>2022</v>
      </c>
      <c r="F2">
        <v>459662</v>
      </c>
      <c r="G2">
        <v>370547</v>
      </c>
      <c r="H2">
        <v>830209</v>
      </c>
      <c r="I2">
        <v>0.55000000000000004</v>
      </c>
      <c r="J2">
        <v>91698</v>
      </c>
      <c r="K2">
        <v>451558</v>
      </c>
      <c r="L2">
        <v>813807</v>
      </c>
      <c r="M2">
        <v>318247</v>
      </c>
      <c r="N2">
        <v>970492</v>
      </c>
      <c r="O2">
        <v>1169744</v>
      </c>
    </row>
    <row r="3" spans="1:15">
      <c r="A3" t="s">
        <v>101</v>
      </c>
      <c r="B3" t="s">
        <v>5</v>
      </c>
      <c r="C3" t="s">
        <v>7</v>
      </c>
      <c r="D3" t="s">
        <v>6</v>
      </c>
      <c r="E3">
        <v>2021</v>
      </c>
      <c r="F3">
        <v>382453</v>
      </c>
      <c r="G3">
        <v>132297</v>
      </c>
      <c r="H3">
        <v>514750</v>
      </c>
      <c r="I3">
        <v>0.74</v>
      </c>
      <c r="J3">
        <v>0</v>
      </c>
      <c r="K3">
        <v>402741</v>
      </c>
      <c r="L3">
        <v>656805</v>
      </c>
      <c r="M3">
        <v>259099</v>
      </c>
      <c r="N3">
        <v>970492</v>
      </c>
      <c r="O3">
        <v>1169744</v>
      </c>
    </row>
    <row r="4" spans="1:15">
      <c r="A4" t="s">
        <v>101</v>
      </c>
      <c r="B4" t="s">
        <v>5</v>
      </c>
      <c r="C4" t="s">
        <v>7</v>
      </c>
      <c r="D4" t="s">
        <v>6</v>
      </c>
      <c r="E4">
        <v>2020</v>
      </c>
      <c r="F4">
        <v>442842</v>
      </c>
      <c r="G4">
        <v>205389</v>
      </c>
      <c r="H4">
        <v>648231</v>
      </c>
      <c r="I4">
        <v>0.68</v>
      </c>
      <c r="J4">
        <v>86154</v>
      </c>
      <c r="K4">
        <v>296667</v>
      </c>
      <c r="L4">
        <v>716454</v>
      </c>
      <c r="M4">
        <v>240770</v>
      </c>
      <c r="N4">
        <v>970492</v>
      </c>
      <c r="O4">
        <v>1169744</v>
      </c>
    </row>
    <row r="5" spans="1:15">
      <c r="A5" t="s">
        <v>101</v>
      </c>
      <c r="B5" t="s">
        <v>5</v>
      </c>
      <c r="C5" t="s">
        <v>7</v>
      </c>
      <c r="D5" t="s">
        <v>6</v>
      </c>
      <c r="E5">
        <v>2019</v>
      </c>
      <c r="F5">
        <v>412455</v>
      </c>
      <c r="G5">
        <v>360262</v>
      </c>
      <c r="H5">
        <v>772717</v>
      </c>
      <c r="I5">
        <v>0.53</v>
      </c>
      <c r="J5">
        <v>84462</v>
      </c>
      <c r="K5">
        <v>297074</v>
      </c>
      <c r="L5">
        <v>824310</v>
      </c>
      <c r="M5">
        <v>257007</v>
      </c>
      <c r="N5">
        <v>970492</v>
      </c>
      <c r="O5">
        <v>1169744</v>
      </c>
    </row>
    <row r="6" spans="1:15">
      <c r="A6" t="s">
        <v>102</v>
      </c>
      <c r="B6" t="s">
        <v>8</v>
      </c>
      <c r="C6" t="s">
        <v>9</v>
      </c>
      <c r="D6" t="s">
        <v>6</v>
      </c>
      <c r="E6">
        <v>2021</v>
      </c>
      <c r="F6">
        <v>1128928</v>
      </c>
      <c r="G6">
        <v>4302</v>
      </c>
      <c r="H6">
        <v>1128832</v>
      </c>
      <c r="I6">
        <v>1</v>
      </c>
      <c r="J6">
        <v>155000</v>
      </c>
      <c r="K6">
        <v>447050</v>
      </c>
      <c r="L6">
        <v>841936</v>
      </c>
      <c r="M6">
        <v>1609104</v>
      </c>
      <c r="N6">
        <v>959203</v>
      </c>
      <c r="O6">
        <v>2363056</v>
      </c>
    </row>
    <row r="7" spans="1:15">
      <c r="A7" t="s">
        <v>102</v>
      </c>
      <c r="B7" t="s">
        <v>8</v>
      </c>
      <c r="C7" t="s">
        <v>9</v>
      </c>
      <c r="D7" t="s">
        <v>6</v>
      </c>
      <c r="E7">
        <v>2020</v>
      </c>
      <c r="F7">
        <v>764516</v>
      </c>
      <c r="G7">
        <v>3418</v>
      </c>
      <c r="H7">
        <v>760562</v>
      </c>
      <c r="I7">
        <v>1.01</v>
      </c>
      <c r="J7">
        <v>140798</v>
      </c>
      <c r="K7">
        <v>333582</v>
      </c>
      <c r="L7">
        <v>671655</v>
      </c>
      <c r="M7">
        <v>1322208</v>
      </c>
      <c r="N7">
        <v>959203</v>
      </c>
      <c r="O7">
        <v>2363056</v>
      </c>
    </row>
    <row r="8" spans="1:15">
      <c r="A8" t="s">
        <v>102</v>
      </c>
      <c r="B8" t="s">
        <v>8</v>
      </c>
      <c r="C8" t="s">
        <v>9</v>
      </c>
      <c r="D8" t="s">
        <v>6</v>
      </c>
      <c r="E8">
        <v>2019</v>
      </c>
      <c r="F8">
        <v>1004514</v>
      </c>
      <c r="G8">
        <v>2631</v>
      </c>
      <c r="H8">
        <v>1060137</v>
      </c>
      <c r="I8">
        <v>0.95</v>
      </c>
      <c r="J8">
        <v>115000</v>
      </c>
      <c r="K8">
        <v>281202</v>
      </c>
      <c r="L8">
        <v>643719</v>
      </c>
      <c r="M8">
        <v>1233301</v>
      </c>
      <c r="N8">
        <v>959203</v>
      </c>
      <c r="O8">
        <v>2363056</v>
      </c>
    </row>
    <row r="9" spans="1:15">
      <c r="A9" t="s">
        <v>103</v>
      </c>
      <c r="B9" t="s">
        <v>10</v>
      </c>
      <c r="C9" t="s">
        <v>11</v>
      </c>
      <c r="D9" t="s">
        <v>6</v>
      </c>
      <c r="E9">
        <v>2022</v>
      </c>
      <c r="F9">
        <v>197517</v>
      </c>
      <c r="G9">
        <v>4598</v>
      </c>
      <c r="H9">
        <v>197770</v>
      </c>
      <c r="I9">
        <v>1</v>
      </c>
      <c r="J9">
        <v>37649</v>
      </c>
      <c r="K9">
        <v>40214</v>
      </c>
      <c r="L9">
        <v>143277</v>
      </c>
      <c r="M9">
        <v>110252</v>
      </c>
      <c r="N9">
        <v>807187</v>
      </c>
      <c r="O9">
        <v>380266</v>
      </c>
    </row>
    <row r="10" spans="1:15">
      <c r="A10" t="s">
        <v>103</v>
      </c>
      <c r="B10" t="s">
        <v>10</v>
      </c>
      <c r="C10" t="s">
        <v>11</v>
      </c>
      <c r="D10" t="s">
        <v>6</v>
      </c>
      <c r="E10">
        <v>2021</v>
      </c>
      <c r="F10">
        <v>0</v>
      </c>
      <c r="G10">
        <v>0</v>
      </c>
      <c r="H10">
        <v>143799</v>
      </c>
      <c r="I10">
        <v>0</v>
      </c>
      <c r="J10">
        <v>0</v>
      </c>
      <c r="K10">
        <v>0</v>
      </c>
      <c r="L10">
        <v>88140</v>
      </c>
      <c r="M10">
        <v>0</v>
      </c>
      <c r="N10">
        <v>807187</v>
      </c>
      <c r="O10">
        <v>380266</v>
      </c>
    </row>
    <row r="11" spans="1:15">
      <c r="A11" t="s">
        <v>18</v>
      </c>
      <c r="B11" t="s">
        <v>12</v>
      </c>
      <c r="C11" t="s">
        <v>13</v>
      </c>
      <c r="D11" t="s">
        <v>6</v>
      </c>
      <c r="E11">
        <v>2022</v>
      </c>
      <c r="F11">
        <v>1063718</v>
      </c>
      <c r="G11">
        <v>26</v>
      </c>
      <c r="H11">
        <v>1099353</v>
      </c>
      <c r="I11">
        <v>0.97</v>
      </c>
      <c r="J11">
        <v>0</v>
      </c>
      <c r="K11">
        <v>0</v>
      </c>
      <c r="L11">
        <v>225996</v>
      </c>
      <c r="M11">
        <v>2431795</v>
      </c>
      <c r="N11">
        <v>623680</v>
      </c>
      <c r="O11">
        <v>603117</v>
      </c>
    </row>
    <row r="12" spans="1:15">
      <c r="A12" t="s">
        <v>18</v>
      </c>
      <c r="B12" t="s">
        <v>12</v>
      </c>
      <c r="C12" t="s">
        <v>13</v>
      </c>
      <c r="D12" t="s">
        <v>6</v>
      </c>
      <c r="E12">
        <v>2021</v>
      </c>
      <c r="F12">
        <v>439858</v>
      </c>
      <c r="G12">
        <v>16</v>
      </c>
      <c r="H12">
        <v>450015</v>
      </c>
      <c r="I12">
        <v>0.98</v>
      </c>
      <c r="J12">
        <v>0</v>
      </c>
      <c r="K12">
        <v>0</v>
      </c>
      <c r="L12">
        <v>127188</v>
      </c>
      <c r="M12">
        <v>1150278</v>
      </c>
      <c r="N12">
        <v>623680</v>
      </c>
      <c r="O12">
        <v>603117</v>
      </c>
    </row>
    <row r="13" spans="1:15">
      <c r="A13" t="s">
        <v>18</v>
      </c>
      <c r="B13" t="s">
        <v>12</v>
      </c>
      <c r="C13" t="s">
        <v>13</v>
      </c>
      <c r="D13" t="s">
        <v>6</v>
      </c>
      <c r="E13">
        <v>2020</v>
      </c>
      <c r="F13">
        <v>91324</v>
      </c>
      <c r="G13">
        <v>29</v>
      </c>
      <c r="H13">
        <v>106938</v>
      </c>
      <c r="I13">
        <v>0.85</v>
      </c>
      <c r="J13">
        <v>0</v>
      </c>
      <c r="K13">
        <v>0</v>
      </c>
      <c r="L13">
        <v>52913</v>
      </c>
      <c r="M13">
        <v>827451</v>
      </c>
      <c r="N13">
        <v>623680</v>
      </c>
      <c r="O13">
        <v>603117</v>
      </c>
    </row>
    <row r="14" spans="1:15">
      <c r="A14" t="s">
        <v>18</v>
      </c>
      <c r="B14" t="s">
        <v>12</v>
      </c>
      <c r="C14" t="s">
        <v>13</v>
      </c>
      <c r="D14" t="s">
        <v>6</v>
      </c>
      <c r="E14">
        <v>2019</v>
      </c>
      <c r="F14">
        <v>378953</v>
      </c>
      <c r="G14">
        <v>61</v>
      </c>
      <c r="H14">
        <v>416026</v>
      </c>
      <c r="I14">
        <v>0.91</v>
      </c>
      <c r="J14">
        <v>0</v>
      </c>
      <c r="K14">
        <v>0</v>
      </c>
      <c r="L14">
        <v>121163</v>
      </c>
      <c r="M14">
        <v>773426</v>
      </c>
      <c r="N14">
        <v>623680</v>
      </c>
      <c r="O14">
        <v>603117</v>
      </c>
    </row>
    <row r="15" spans="1:15">
      <c r="A15" t="s">
        <v>17</v>
      </c>
      <c r="B15" t="s">
        <v>14</v>
      </c>
      <c r="C15" t="s">
        <v>15</v>
      </c>
      <c r="D15" t="s">
        <v>6</v>
      </c>
      <c r="E15">
        <v>2022</v>
      </c>
      <c r="F15">
        <v>16725</v>
      </c>
      <c r="G15">
        <v>238143</v>
      </c>
      <c r="H15">
        <v>254868</v>
      </c>
      <c r="I15">
        <v>7.0000000000000007E-2</v>
      </c>
      <c r="J15">
        <v>40290</v>
      </c>
      <c r="K15">
        <v>63001</v>
      </c>
      <c r="L15">
        <v>247402</v>
      </c>
      <c r="M15">
        <v>6332</v>
      </c>
      <c r="N15">
        <v>611638</v>
      </c>
      <c r="O15">
        <v>94462</v>
      </c>
    </row>
    <row r="16" spans="1:15">
      <c r="A16" t="s">
        <v>17</v>
      </c>
      <c r="B16" t="s">
        <v>14</v>
      </c>
      <c r="C16" t="s">
        <v>15</v>
      </c>
      <c r="D16" t="s">
        <v>6</v>
      </c>
      <c r="E16">
        <v>2021</v>
      </c>
      <c r="F16">
        <v>0</v>
      </c>
      <c r="G16">
        <v>0</v>
      </c>
      <c r="H16">
        <v>84657</v>
      </c>
      <c r="I16">
        <v>0</v>
      </c>
      <c r="J16">
        <v>0</v>
      </c>
      <c r="K16">
        <v>0</v>
      </c>
      <c r="L16">
        <v>105652</v>
      </c>
      <c r="M16">
        <v>0</v>
      </c>
      <c r="N16">
        <v>611638</v>
      </c>
      <c r="O16">
        <v>94462</v>
      </c>
    </row>
    <row r="17" spans="1:15">
      <c r="A17" t="s">
        <v>17</v>
      </c>
      <c r="B17" t="s">
        <v>14</v>
      </c>
      <c r="C17" t="s">
        <v>15</v>
      </c>
      <c r="D17" t="s">
        <v>6</v>
      </c>
      <c r="E17">
        <v>2020</v>
      </c>
      <c r="F17">
        <v>0</v>
      </c>
      <c r="G17">
        <v>0</v>
      </c>
      <c r="H17">
        <v>159512</v>
      </c>
      <c r="I17">
        <v>0</v>
      </c>
      <c r="J17">
        <v>0</v>
      </c>
      <c r="K17">
        <v>0</v>
      </c>
      <c r="L17">
        <v>140563</v>
      </c>
      <c r="M17">
        <v>0</v>
      </c>
      <c r="N17">
        <v>611638</v>
      </c>
      <c r="O17">
        <v>94462</v>
      </c>
    </row>
    <row r="18" spans="1:15">
      <c r="A18" t="s">
        <v>20</v>
      </c>
      <c r="B18" t="s">
        <v>19</v>
      </c>
      <c r="C18" t="s">
        <v>9</v>
      </c>
      <c r="D18" t="s">
        <v>6</v>
      </c>
      <c r="E18">
        <v>2022</v>
      </c>
      <c r="F18">
        <v>51545</v>
      </c>
      <c r="G18">
        <v>436673</v>
      </c>
      <c r="H18">
        <v>492123</v>
      </c>
      <c r="I18">
        <v>0.1</v>
      </c>
      <c r="J18">
        <v>0</v>
      </c>
      <c r="K18">
        <v>152768</v>
      </c>
      <c r="L18">
        <v>429865</v>
      </c>
      <c r="M18">
        <v>313327</v>
      </c>
      <c r="N18">
        <v>610308</v>
      </c>
      <c r="O18">
        <v>264317</v>
      </c>
    </row>
    <row r="19" spans="1:15">
      <c r="A19" t="s">
        <v>20</v>
      </c>
      <c r="B19" t="s">
        <v>19</v>
      </c>
      <c r="C19" t="s">
        <v>9</v>
      </c>
      <c r="D19" t="s">
        <v>6</v>
      </c>
      <c r="E19">
        <v>2021</v>
      </c>
      <c r="F19">
        <v>54696</v>
      </c>
      <c r="G19">
        <v>369692</v>
      </c>
      <c r="H19">
        <v>430438</v>
      </c>
      <c r="I19">
        <v>0.13</v>
      </c>
      <c r="J19">
        <v>0</v>
      </c>
      <c r="K19">
        <v>147645</v>
      </c>
      <c r="L19">
        <v>401625</v>
      </c>
      <c r="M19">
        <v>251069</v>
      </c>
      <c r="N19">
        <v>610308</v>
      </c>
      <c r="O19">
        <v>264317</v>
      </c>
    </row>
    <row r="20" spans="1:15">
      <c r="A20" t="s">
        <v>20</v>
      </c>
      <c r="B20" t="s">
        <v>19</v>
      </c>
      <c r="C20" t="s">
        <v>9</v>
      </c>
      <c r="D20" t="s">
        <v>6</v>
      </c>
      <c r="E20">
        <v>2020</v>
      </c>
      <c r="F20">
        <v>28991</v>
      </c>
      <c r="G20">
        <v>482562</v>
      </c>
      <c r="H20">
        <v>518153</v>
      </c>
      <c r="I20">
        <v>0.06</v>
      </c>
      <c r="J20">
        <v>0</v>
      </c>
      <c r="K20">
        <v>139422</v>
      </c>
      <c r="L20">
        <v>552805</v>
      </c>
      <c r="M20">
        <v>222256</v>
      </c>
      <c r="N20">
        <v>610308</v>
      </c>
      <c r="O20">
        <v>264317</v>
      </c>
    </row>
    <row r="21" spans="1:15">
      <c r="A21" t="s">
        <v>20</v>
      </c>
      <c r="B21" t="s">
        <v>19</v>
      </c>
      <c r="C21" t="s">
        <v>9</v>
      </c>
      <c r="D21" t="s">
        <v>6</v>
      </c>
      <c r="E21">
        <v>2019</v>
      </c>
      <c r="F21">
        <v>34465</v>
      </c>
      <c r="G21">
        <v>621724</v>
      </c>
      <c r="H21">
        <v>661689</v>
      </c>
      <c r="I21">
        <v>0.05</v>
      </c>
      <c r="J21">
        <v>0</v>
      </c>
      <c r="K21">
        <v>121615</v>
      </c>
      <c r="L21">
        <v>637810</v>
      </c>
      <c r="M21">
        <v>256908</v>
      </c>
      <c r="N21">
        <v>610308</v>
      </c>
      <c r="O21">
        <v>264317</v>
      </c>
    </row>
    <row r="22" spans="1:15">
      <c r="A22" t="s">
        <v>23</v>
      </c>
      <c r="B22" t="s">
        <v>21</v>
      </c>
      <c r="C22" t="s">
        <v>22</v>
      </c>
      <c r="D22" t="s">
        <v>6</v>
      </c>
      <c r="E22">
        <v>2022</v>
      </c>
      <c r="F22">
        <v>449793</v>
      </c>
      <c r="G22">
        <v>117465</v>
      </c>
      <c r="H22">
        <v>565104</v>
      </c>
      <c r="I22">
        <v>0.8</v>
      </c>
      <c r="J22">
        <v>111538</v>
      </c>
      <c r="K22">
        <v>203147</v>
      </c>
      <c r="L22">
        <v>460770</v>
      </c>
      <c r="M22">
        <v>368858</v>
      </c>
      <c r="N22">
        <v>552280</v>
      </c>
      <c r="O22">
        <v>350356</v>
      </c>
    </row>
    <row r="23" spans="1:15">
      <c r="A23" t="s">
        <v>23</v>
      </c>
      <c r="B23" t="s">
        <v>21</v>
      </c>
      <c r="C23" t="s">
        <v>22</v>
      </c>
      <c r="D23" t="s">
        <v>6</v>
      </c>
      <c r="E23">
        <v>2021</v>
      </c>
      <c r="F23">
        <v>501331</v>
      </c>
      <c r="G23">
        <v>57122</v>
      </c>
      <c r="H23">
        <v>558453</v>
      </c>
      <c r="I23">
        <v>0.9</v>
      </c>
      <c r="J23">
        <v>115534</v>
      </c>
      <c r="K23">
        <v>175926</v>
      </c>
      <c r="L23">
        <v>507769</v>
      </c>
      <c r="M23">
        <v>274602</v>
      </c>
      <c r="N23">
        <v>552280</v>
      </c>
      <c r="O23">
        <v>350356</v>
      </c>
    </row>
    <row r="24" spans="1:15">
      <c r="A24" t="s">
        <v>23</v>
      </c>
      <c r="B24" t="s">
        <v>21</v>
      </c>
      <c r="C24" t="s">
        <v>22</v>
      </c>
      <c r="D24" t="s">
        <v>6</v>
      </c>
      <c r="E24">
        <v>2020</v>
      </c>
      <c r="F24">
        <v>371488</v>
      </c>
      <c r="G24">
        <v>74300</v>
      </c>
      <c r="H24">
        <v>445788</v>
      </c>
      <c r="I24">
        <v>0.83</v>
      </c>
      <c r="J24">
        <v>122566</v>
      </c>
      <c r="K24">
        <v>121971</v>
      </c>
      <c r="L24">
        <v>456266</v>
      </c>
      <c r="M24">
        <v>214688</v>
      </c>
      <c r="N24">
        <v>552280</v>
      </c>
      <c r="O24">
        <v>350356</v>
      </c>
    </row>
    <row r="25" spans="1:15">
      <c r="A25" t="s">
        <v>23</v>
      </c>
      <c r="B25" t="s">
        <v>21</v>
      </c>
      <c r="C25" t="s">
        <v>22</v>
      </c>
      <c r="D25" t="s">
        <v>6</v>
      </c>
      <c r="E25">
        <v>2019</v>
      </c>
      <c r="F25">
        <v>436928</v>
      </c>
      <c r="G25">
        <v>98458</v>
      </c>
      <c r="H25">
        <v>534101</v>
      </c>
      <c r="I25">
        <v>0.82</v>
      </c>
      <c r="J25">
        <v>104508</v>
      </c>
      <c r="K25">
        <v>218841</v>
      </c>
      <c r="L25">
        <v>576229</v>
      </c>
      <c r="M25">
        <v>219068</v>
      </c>
      <c r="N25">
        <v>552280</v>
      </c>
      <c r="O25">
        <v>350356</v>
      </c>
    </row>
    <row r="26" spans="1:15">
      <c r="A26" t="s">
        <v>25</v>
      </c>
      <c r="B26" t="s">
        <v>24</v>
      </c>
      <c r="C26" t="s">
        <v>26</v>
      </c>
      <c r="D26" t="s">
        <v>6</v>
      </c>
      <c r="E26">
        <v>2022</v>
      </c>
      <c r="F26">
        <v>379601</v>
      </c>
      <c r="G26">
        <v>37121</v>
      </c>
      <c r="H26">
        <v>452975</v>
      </c>
      <c r="I26">
        <v>0.84</v>
      </c>
      <c r="J26">
        <v>0</v>
      </c>
      <c r="K26">
        <v>96400</v>
      </c>
      <c r="L26">
        <v>559386</v>
      </c>
      <c r="M26">
        <v>9093779</v>
      </c>
      <c r="N26">
        <v>523158</v>
      </c>
      <c r="O26">
        <v>9122010</v>
      </c>
    </row>
    <row r="27" spans="1:15">
      <c r="A27" t="s">
        <v>25</v>
      </c>
      <c r="B27" t="s">
        <v>24</v>
      </c>
      <c r="C27" t="s">
        <v>26</v>
      </c>
      <c r="D27" t="s">
        <v>6</v>
      </c>
      <c r="E27">
        <v>2021</v>
      </c>
      <c r="F27">
        <v>2972399</v>
      </c>
      <c r="G27">
        <v>27715</v>
      </c>
      <c r="H27">
        <v>3032805</v>
      </c>
      <c r="I27">
        <v>0.98</v>
      </c>
      <c r="J27">
        <v>0</v>
      </c>
      <c r="K27">
        <v>77600</v>
      </c>
      <c r="L27">
        <v>631850</v>
      </c>
      <c r="M27">
        <v>9277470</v>
      </c>
      <c r="N27">
        <v>523158</v>
      </c>
      <c r="O27">
        <v>9122010</v>
      </c>
    </row>
    <row r="28" spans="1:15">
      <c r="A28" t="s">
        <v>25</v>
      </c>
      <c r="B28" t="s">
        <v>24</v>
      </c>
      <c r="C28" t="s">
        <v>26</v>
      </c>
      <c r="D28" t="s">
        <v>6</v>
      </c>
      <c r="E28">
        <v>2020</v>
      </c>
      <c r="F28">
        <v>389185</v>
      </c>
      <c r="G28">
        <v>41095</v>
      </c>
      <c r="H28">
        <v>468401</v>
      </c>
      <c r="I28">
        <v>0.83</v>
      </c>
      <c r="J28">
        <v>20000</v>
      </c>
      <c r="K28">
        <v>75024</v>
      </c>
      <c r="L28">
        <v>541675</v>
      </c>
      <c r="M28">
        <v>6885973</v>
      </c>
      <c r="N28">
        <v>523158</v>
      </c>
      <c r="O28">
        <v>9122010</v>
      </c>
    </row>
    <row r="29" spans="1:15">
      <c r="A29" t="s">
        <v>25</v>
      </c>
      <c r="B29" t="s">
        <v>24</v>
      </c>
      <c r="C29" t="s">
        <v>26</v>
      </c>
      <c r="D29" t="s">
        <v>6</v>
      </c>
      <c r="E29">
        <v>2019</v>
      </c>
      <c r="F29">
        <v>395211</v>
      </c>
      <c r="G29">
        <v>44303</v>
      </c>
      <c r="H29">
        <v>477795</v>
      </c>
      <c r="I29">
        <v>0.83</v>
      </c>
      <c r="J29">
        <v>17000</v>
      </c>
      <c r="K29">
        <v>65520</v>
      </c>
      <c r="L29">
        <v>381088</v>
      </c>
      <c r="M29">
        <v>6957810</v>
      </c>
      <c r="N29">
        <v>523158</v>
      </c>
      <c r="O29">
        <v>9122010</v>
      </c>
    </row>
    <row r="30" spans="1:15">
      <c r="A30" t="s">
        <v>29</v>
      </c>
      <c r="B30" t="s">
        <v>27</v>
      </c>
      <c r="C30" t="s">
        <v>28</v>
      </c>
      <c r="D30" t="s">
        <v>6</v>
      </c>
      <c r="E30">
        <v>2022</v>
      </c>
      <c r="F30">
        <v>770552</v>
      </c>
      <c r="G30">
        <v>115</v>
      </c>
      <c r="H30">
        <v>770667</v>
      </c>
      <c r="I30">
        <v>1</v>
      </c>
      <c r="J30">
        <v>0</v>
      </c>
      <c r="K30">
        <v>0</v>
      </c>
      <c r="L30">
        <v>483329</v>
      </c>
      <c r="M30">
        <v>3383373</v>
      </c>
      <c r="N30">
        <v>478925</v>
      </c>
      <c r="O30">
        <v>3870703</v>
      </c>
    </row>
    <row r="31" spans="1:15">
      <c r="A31" t="s">
        <v>29</v>
      </c>
      <c r="B31" t="s">
        <v>27</v>
      </c>
      <c r="C31" t="s">
        <v>28</v>
      </c>
      <c r="D31" t="s">
        <v>6</v>
      </c>
      <c r="E31">
        <v>2021</v>
      </c>
      <c r="F31">
        <v>2118551</v>
      </c>
      <c r="G31">
        <v>110</v>
      </c>
      <c r="H31">
        <v>2118446</v>
      </c>
      <c r="I31">
        <v>1</v>
      </c>
      <c r="J31">
        <v>0</v>
      </c>
      <c r="K31">
        <v>0</v>
      </c>
      <c r="L31">
        <v>405017</v>
      </c>
      <c r="M31">
        <v>3394149</v>
      </c>
      <c r="N31">
        <v>478925</v>
      </c>
      <c r="O31">
        <v>3870703</v>
      </c>
    </row>
    <row r="32" spans="1:15">
      <c r="A32" t="s">
        <v>29</v>
      </c>
      <c r="B32" t="s">
        <v>27</v>
      </c>
      <c r="C32" t="s">
        <v>28</v>
      </c>
      <c r="D32" t="s">
        <v>6</v>
      </c>
      <c r="E32">
        <v>2020</v>
      </c>
      <c r="F32">
        <v>538696</v>
      </c>
      <c r="G32">
        <v>139</v>
      </c>
      <c r="H32">
        <v>538418</v>
      </c>
      <c r="I32">
        <v>1</v>
      </c>
      <c r="J32">
        <v>0</v>
      </c>
      <c r="K32">
        <v>0</v>
      </c>
      <c r="L32">
        <v>298419</v>
      </c>
      <c r="M32">
        <v>1680720</v>
      </c>
      <c r="N32">
        <v>478925</v>
      </c>
      <c r="O32">
        <v>3870703</v>
      </c>
    </row>
    <row r="33" spans="1:15">
      <c r="A33" t="s">
        <v>29</v>
      </c>
      <c r="B33" t="s">
        <v>27</v>
      </c>
      <c r="C33" t="s">
        <v>28</v>
      </c>
      <c r="D33" t="s">
        <v>6</v>
      </c>
      <c r="E33">
        <v>2019</v>
      </c>
      <c r="F33">
        <v>459565</v>
      </c>
      <c r="G33">
        <v>114</v>
      </c>
      <c r="H33">
        <v>459679</v>
      </c>
      <c r="I33">
        <v>1</v>
      </c>
      <c r="J33">
        <v>0</v>
      </c>
      <c r="K33">
        <v>0</v>
      </c>
      <c r="L33">
        <v>331292</v>
      </c>
      <c r="M33">
        <v>1440721</v>
      </c>
      <c r="N33">
        <v>478925</v>
      </c>
      <c r="O33">
        <v>3870703</v>
      </c>
    </row>
    <row r="34" spans="1:15">
      <c r="A34" t="s">
        <v>32</v>
      </c>
      <c r="B34" t="s">
        <v>30</v>
      </c>
      <c r="C34" t="s">
        <v>31</v>
      </c>
      <c r="D34" t="s">
        <v>6</v>
      </c>
      <c r="E34">
        <v>2022</v>
      </c>
      <c r="F34">
        <v>197198</v>
      </c>
      <c r="G34">
        <v>426716</v>
      </c>
      <c r="H34">
        <v>622914</v>
      </c>
      <c r="I34">
        <v>0.32</v>
      </c>
      <c r="J34">
        <v>100800</v>
      </c>
      <c r="K34">
        <v>145374</v>
      </c>
      <c r="L34">
        <v>533596</v>
      </c>
      <c r="M34">
        <v>-26198</v>
      </c>
      <c r="N34">
        <v>445782</v>
      </c>
      <c r="O34">
        <v>69748</v>
      </c>
    </row>
    <row r="35" spans="1:15">
      <c r="A35" t="s">
        <v>32</v>
      </c>
      <c r="B35" t="s">
        <v>30</v>
      </c>
      <c r="C35" t="s">
        <v>31</v>
      </c>
      <c r="D35" t="s">
        <v>6</v>
      </c>
      <c r="E35">
        <v>2021</v>
      </c>
      <c r="F35">
        <v>267345</v>
      </c>
      <c r="G35">
        <v>59803</v>
      </c>
      <c r="H35">
        <v>327148</v>
      </c>
      <c r="I35">
        <v>0.82</v>
      </c>
      <c r="J35">
        <v>0</v>
      </c>
      <c r="K35">
        <v>253104</v>
      </c>
      <c r="L35">
        <v>398244</v>
      </c>
      <c r="M35">
        <v>-115516</v>
      </c>
      <c r="N35">
        <v>445782</v>
      </c>
      <c r="O35">
        <v>69748</v>
      </c>
    </row>
    <row r="36" spans="1:15">
      <c r="A36" t="s">
        <v>32</v>
      </c>
      <c r="B36" t="s">
        <v>30</v>
      </c>
      <c r="C36" t="s">
        <v>31</v>
      </c>
      <c r="D36" t="s">
        <v>6</v>
      </c>
      <c r="E36">
        <v>2020</v>
      </c>
      <c r="F36">
        <v>68969</v>
      </c>
      <c r="G36">
        <v>84488</v>
      </c>
      <c r="H36">
        <v>436790</v>
      </c>
      <c r="I36">
        <v>0.16</v>
      </c>
      <c r="J36">
        <v>57200</v>
      </c>
      <c r="K36">
        <v>217469</v>
      </c>
      <c r="L36">
        <v>497633</v>
      </c>
      <c r="M36">
        <v>-44420</v>
      </c>
      <c r="N36">
        <v>445782</v>
      </c>
      <c r="O36">
        <v>69748</v>
      </c>
    </row>
    <row r="37" spans="1:15">
      <c r="A37" t="s">
        <v>32</v>
      </c>
      <c r="B37" t="s">
        <v>30</v>
      </c>
      <c r="C37" t="s">
        <v>31</v>
      </c>
      <c r="D37" t="s">
        <v>6</v>
      </c>
      <c r="E37">
        <v>2019</v>
      </c>
      <c r="F37">
        <v>102163</v>
      </c>
      <c r="G37">
        <v>403055</v>
      </c>
      <c r="H37">
        <v>505242</v>
      </c>
      <c r="I37">
        <v>0.2</v>
      </c>
      <c r="J37">
        <v>53018</v>
      </c>
      <c r="K37">
        <v>145522</v>
      </c>
      <c r="L37">
        <v>563945</v>
      </c>
      <c r="M37">
        <v>16423</v>
      </c>
      <c r="N37">
        <v>445782</v>
      </c>
      <c r="O37">
        <v>69748</v>
      </c>
    </row>
    <row r="38" spans="1:15">
      <c r="A38" t="s">
        <v>35</v>
      </c>
      <c r="B38" t="s">
        <v>33</v>
      </c>
      <c r="C38" t="s">
        <v>34</v>
      </c>
      <c r="D38" t="s">
        <v>6</v>
      </c>
      <c r="E38">
        <v>2022</v>
      </c>
      <c r="F38">
        <v>135164</v>
      </c>
      <c r="G38">
        <v>0</v>
      </c>
      <c r="H38">
        <v>135164</v>
      </c>
      <c r="I38">
        <v>1</v>
      </c>
      <c r="J38">
        <v>0</v>
      </c>
      <c r="K38">
        <v>60129</v>
      </c>
      <c r="L38">
        <v>336476</v>
      </c>
      <c r="M38">
        <v>532387</v>
      </c>
      <c r="N38">
        <v>299372</v>
      </c>
      <c r="O38">
        <v>550788</v>
      </c>
    </row>
    <row r="39" spans="1:15">
      <c r="A39" t="s">
        <v>35</v>
      </c>
      <c r="B39" t="s">
        <v>33</v>
      </c>
      <c r="C39" t="s">
        <v>34</v>
      </c>
      <c r="D39" t="s">
        <v>6</v>
      </c>
      <c r="E39">
        <v>2021</v>
      </c>
      <c r="F39">
        <v>1675014</v>
      </c>
      <c r="G39">
        <v>0</v>
      </c>
      <c r="H39">
        <v>1675014</v>
      </c>
      <c r="I39">
        <v>1</v>
      </c>
      <c r="J39">
        <v>0</v>
      </c>
      <c r="K39">
        <v>55095</v>
      </c>
      <c r="L39">
        <v>332572</v>
      </c>
      <c r="M39">
        <v>733699</v>
      </c>
      <c r="N39">
        <v>299372</v>
      </c>
      <c r="O39">
        <v>550788</v>
      </c>
    </row>
    <row r="40" spans="1:15">
      <c r="A40" t="s">
        <v>35</v>
      </c>
      <c r="B40" t="s">
        <v>33</v>
      </c>
      <c r="C40" t="s">
        <v>34</v>
      </c>
      <c r="D40" t="s">
        <v>6</v>
      </c>
      <c r="E40">
        <v>2020</v>
      </c>
      <c r="F40">
        <v>153092</v>
      </c>
      <c r="G40">
        <v>0</v>
      </c>
      <c r="H40">
        <v>153092</v>
      </c>
      <c r="I40">
        <v>1</v>
      </c>
      <c r="J40">
        <v>0</v>
      </c>
      <c r="K40">
        <v>44013</v>
      </c>
      <c r="L40">
        <v>54942</v>
      </c>
      <c r="M40">
        <v>-608743</v>
      </c>
      <c r="N40">
        <v>299372</v>
      </c>
      <c r="O40">
        <v>550788</v>
      </c>
    </row>
    <row r="41" spans="1:15">
      <c r="A41" t="s">
        <v>35</v>
      </c>
      <c r="B41" t="s">
        <v>33</v>
      </c>
      <c r="C41" t="s">
        <v>34</v>
      </c>
      <c r="D41" t="s">
        <v>6</v>
      </c>
      <c r="E41">
        <v>2019</v>
      </c>
      <c r="F41">
        <v>139476</v>
      </c>
      <c r="G41">
        <v>0</v>
      </c>
      <c r="H41">
        <v>139476</v>
      </c>
      <c r="I41">
        <v>1</v>
      </c>
      <c r="J41">
        <v>0</v>
      </c>
      <c r="K41">
        <v>0</v>
      </c>
      <c r="L41">
        <v>43092</v>
      </c>
      <c r="M41">
        <v>-706460</v>
      </c>
      <c r="N41">
        <v>299372</v>
      </c>
      <c r="O41">
        <v>550788</v>
      </c>
    </row>
    <row r="42" spans="1:15">
      <c r="A42" t="s">
        <v>38</v>
      </c>
      <c r="B42" t="s">
        <v>36</v>
      </c>
      <c r="C42" t="s">
        <v>37</v>
      </c>
      <c r="D42" t="s">
        <v>6</v>
      </c>
      <c r="E42">
        <v>2022</v>
      </c>
      <c r="F42">
        <v>272581</v>
      </c>
      <c r="G42">
        <v>21923</v>
      </c>
      <c r="H42">
        <v>294504</v>
      </c>
      <c r="I42">
        <v>0.93</v>
      </c>
      <c r="J42">
        <v>0</v>
      </c>
      <c r="K42">
        <v>0</v>
      </c>
      <c r="L42">
        <v>557891</v>
      </c>
      <c r="M42">
        <v>1873840</v>
      </c>
      <c r="N42">
        <v>294504</v>
      </c>
      <c r="O42">
        <v>2383983</v>
      </c>
    </row>
    <row r="43" spans="1:15">
      <c r="A43" t="s">
        <v>38</v>
      </c>
      <c r="B43" t="s">
        <v>36</v>
      </c>
      <c r="C43" t="s">
        <v>37</v>
      </c>
      <c r="D43" t="s">
        <v>6</v>
      </c>
      <c r="E43">
        <v>2021</v>
      </c>
      <c r="F43">
        <v>91000</v>
      </c>
      <c r="G43">
        <v>18600</v>
      </c>
      <c r="H43">
        <v>109600</v>
      </c>
      <c r="I43">
        <v>0.83</v>
      </c>
      <c r="J43">
        <v>9517</v>
      </c>
      <c r="K43">
        <v>0</v>
      </c>
      <c r="L43">
        <v>348469</v>
      </c>
      <c r="M43">
        <v>1898678</v>
      </c>
      <c r="N43">
        <v>294504</v>
      </c>
      <c r="O43">
        <v>2383983</v>
      </c>
    </row>
    <row r="44" spans="1:15">
      <c r="A44" t="s">
        <v>38</v>
      </c>
      <c r="B44" t="s">
        <v>36</v>
      </c>
      <c r="C44" t="s">
        <v>37</v>
      </c>
      <c r="D44" t="s">
        <v>6</v>
      </c>
      <c r="E44">
        <v>2020</v>
      </c>
      <c r="F44">
        <v>0</v>
      </c>
      <c r="G44">
        <v>223089</v>
      </c>
      <c r="H44">
        <v>223089</v>
      </c>
      <c r="I44">
        <v>0</v>
      </c>
      <c r="J44">
        <v>11520</v>
      </c>
      <c r="K44">
        <v>25200</v>
      </c>
      <c r="L44">
        <v>209160</v>
      </c>
      <c r="M44">
        <v>1440368</v>
      </c>
      <c r="N44">
        <v>294504</v>
      </c>
      <c r="O44">
        <v>2383983</v>
      </c>
    </row>
    <row r="45" spans="1:15">
      <c r="A45" t="s">
        <v>38</v>
      </c>
      <c r="B45" t="s">
        <v>36</v>
      </c>
      <c r="C45" t="s">
        <v>37</v>
      </c>
      <c r="D45" t="s">
        <v>6</v>
      </c>
      <c r="E45">
        <v>2019</v>
      </c>
      <c r="F45">
        <v>0</v>
      </c>
      <c r="G45">
        <v>222496</v>
      </c>
      <c r="H45">
        <v>222496</v>
      </c>
      <c r="I45">
        <v>0</v>
      </c>
      <c r="J45">
        <v>36720</v>
      </c>
      <c r="K45">
        <v>0</v>
      </c>
      <c r="L45">
        <v>241766</v>
      </c>
      <c r="M45">
        <v>1426919</v>
      </c>
      <c r="N45">
        <v>294504</v>
      </c>
      <c r="O45">
        <v>2383983</v>
      </c>
    </row>
    <row r="46" spans="1:15">
      <c r="A46" t="s">
        <v>40</v>
      </c>
      <c r="B46" t="s">
        <v>100</v>
      </c>
      <c r="C46" t="s">
        <v>39</v>
      </c>
      <c r="D46" t="s">
        <v>6</v>
      </c>
      <c r="E46">
        <v>2021</v>
      </c>
      <c r="F46">
        <v>370314</v>
      </c>
      <c r="G46">
        <v>796</v>
      </c>
      <c r="H46">
        <v>381067</v>
      </c>
      <c r="I46">
        <v>0.97</v>
      </c>
      <c r="J46">
        <v>0</v>
      </c>
      <c r="K46">
        <v>182116</v>
      </c>
      <c r="L46">
        <v>420263</v>
      </c>
      <c r="M46">
        <v>294435</v>
      </c>
      <c r="N46">
        <v>265274</v>
      </c>
      <c r="O46">
        <v>306074</v>
      </c>
    </row>
    <row r="47" spans="1:15">
      <c r="A47" t="s">
        <v>40</v>
      </c>
      <c r="B47" t="s">
        <v>100</v>
      </c>
      <c r="C47" t="s">
        <v>39</v>
      </c>
      <c r="D47" t="s">
        <v>6</v>
      </c>
      <c r="E47">
        <v>2020</v>
      </c>
      <c r="F47">
        <v>372750</v>
      </c>
      <c r="G47">
        <v>1766</v>
      </c>
      <c r="H47">
        <v>378417</v>
      </c>
      <c r="I47">
        <v>0.99</v>
      </c>
      <c r="J47">
        <v>0</v>
      </c>
      <c r="K47">
        <v>120178</v>
      </c>
      <c r="L47">
        <v>248148</v>
      </c>
      <c r="M47">
        <v>333624</v>
      </c>
      <c r="N47">
        <v>265274</v>
      </c>
      <c r="O47">
        <v>306074</v>
      </c>
    </row>
    <row r="48" spans="1:15">
      <c r="A48" t="s">
        <v>40</v>
      </c>
      <c r="B48" t="s">
        <v>100</v>
      </c>
      <c r="C48" t="s">
        <v>39</v>
      </c>
      <c r="D48" t="s">
        <v>6</v>
      </c>
      <c r="E48">
        <v>2019</v>
      </c>
      <c r="F48">
        <v>230532</v>
      </c>
      <c r="G48">
        <v>1484</v>
      </c>
      <c r="H48">
        <v>244807</v>
      </c>
      <c r="I48">
        <v>0.94</v>
      </c>
      <c r="J48">
        <v>0</v>
      </c>
      <c r="K48">
        <v>52436</v>
      </c>
      <c r="L48">
        <v>114618</v>
      </c>
      <c r="M48">
        <v>203355</v>
      </c>
      <c r="N48">
        <v>265274</v>
      </c>
      <c r="O48">
        <v>306074</v>
      </c>
    </row>
    <row r="49" spans="1:15">
      <c r="A49" t="s">
        <v>42</v>
      </c>
      <c r="B49" t="s">
        <v>41</v>
      </c>
      <c r="C49" t="s">
        <v>43</v>
      </c>
      <c r="D49" t="s">
        <v>6</v>
      </c>
      <c r="E49">
        <v>2022</v>
      </c>
      <c r="F49">
        <v>288191</v>
      </c>
      <c r="G49">
        <v>0</v>
      </c>
      <c r="H49">
        <v>288191</v>
      </c>
      <c r="I49">
        <v>1</v>
      </c>
      <c r="J49">
        <v>0</v>
      </c>
      <c r="K49">
        <v>0</v>
      </c>
      <c r="L49">
        <v>266700</v>
      </c>
      <c r="M49">
        <v>110410</v>
      </c>
      <c r="N49">
        <v>241142</v>
      </c>
      <c r="O49">
        <v>134688</v>
      </c>
    </row>
    <row r="50" spans="1:15">
      <c r="A50" t="s">
        <v>42</v>
      </c>
      <c r="B50" t="s">
        <v>41</v>
      </c>
      <c r="C50" t="s">
        <v>43</v>
      </c>
      <c r="D50" t="s">
        <v>6</v>
      </c>
      <c r="E50">
        <v>2021</v>
      </c>
      <c r="F50">
        <v>184245</v>
      </c>
      <c r="G50">
        <v>0</v>
      </c>
      <c r="H50">
        <v>184245</v>
      </c>
      <c r="I50">
        <v>1</v>
      </c>
      <c r="J50">
        <v>0</v>
      </c>
      <c r="K50">
        <v>0</v>
      </c>
      <c r="L50">
        <v>115570</v>
      </c>
      <c r="M50">
        <v>88919</v>
      </c>
      <c r="N50">
        <v>241142</v>
      </c>
      <c r="O50">
        <v>134688</v>
      </c>
    </row>
    <row r="51" spans="1:15">
      <c r="A51" t="s">
        <v>42</v>
      </c>
      <c r="B51" t="s">
        <v>41</v>
      </c>
      <c r="C51" t="s">
        <v>43</v>
      </c>
      <c r="D51" t="s">
        <v>6</v>
      </c>
      <c r="E51">
        <v>2020</v>
      </c>
      <c r="F51">
        <v>0</v>
      </c>
      <c r="G51">
        <v>0</v>
      </c>
      <c r="H51">
        <v>32085</v>
      </c>
      <c r="I51">
        <v>0</v>
      </c>
      <c r="J51">
        <v>0</v>
      </c>
      <c r="K51">
        <v>0</v>
      </c>
      <c r="L51">
        <v>11840</v>
      </c>
      <c r="M51">
        <v>0</v>
      </c>
      <c r="N51">
        <v>241142</v>
      </c>
      <c r="O51">
        <v>134688</v>
      </c>
    </row>
    <row r="52" spans="1:15">
      <c r="A52" t="s">
        <v>46</v>
      </c>
      <c r="B52" t="s">
        <v>44</v>
      </c>
      <c r="C52" t="s">
        <v>45</v>
      </c>
      <c r="D52" t="s">
        <v>6</v>
      </c>
      <c r="E52">
        <v>2022</v>
      </c>
      <c r="F52">
        <v>123004</v>
      </c>
      <c r="G52">
        <v>43812</v>
      </c>
      <c r="H52">
        <v>166816</v>
      </c>
      <c r="I52">
        <v>0.74</v>
      </c>
      <c r="J52">
        <v>0</v>
      </c>
      <c r="K52">
        <v>36471</v>
      </c>
      <c r="L52">
        <v>201797</v>
      </c>
      <c r="M52">
        <v>1524490</v>
      </c>
      <c r="N52">
        <v>236345</v>
      </c>
      <c r="O52">
        <v>1663156</v>
      </c>
    </row>
    <row r="53" spans="1:15">
      <c r="A53" t="s">
        <v>46</v>
      </c>
      <c r="B53" t="s">
        <v>44</v>
      </c>
      <c r="C53" t="s">
        <v>45</v>
      </c>
      <c r="D53" t="s">
        <v>6</v>
      </c>
      <c r="E53">
        <v>2021</v>
      </c>
      <c r="F53">
        <v>236838</v>
      </c>
      <c r="G53">
        <v>63732</v>
      </c>
      <c r="H53">
        <v>300570</v>
      </c>
      <c r="I53">
        <v>0.79</v>
      </c>
      <c r="J53">
        <v>0</v>
      </c>
      <c r="K53">
        <v>36960</v>
      </c>
      <c r="L53">
        <v>203664</v>
      </c>
      <c r="M53">
        <v>1792486</v>
      </c>
      <c r="N53">
        <v>236345</v>
      </c>
      <c r="O53">
        <v>1663156</v>
      </c>
    </row>
    <row r="54" spans="1:15">
      <c r="A54" t="s">
        <v>46</v>
      </c>
      <c r="B54" t="s">
        <v>44</v>
      </c>
      <c r="C54" t="s">
        <v>45</v>
      </c>
      <c r="D54" t="s">
        <v>6</v>
      </c>
      <c r="E54">
        <v>2020</v>
      </c>
      <c r="F54">
        <v>127687</v>
      </c>
      <c r="G54">
        <v>26294</v>
      </c>
      <c r="H54">
        <v>153981</v>
      </c>
      <c r="I54">
        <v>0.83</v>
      </c>
      <c r="J54">
        <v>0</v>
      </c>
      <c r="K54">
        <v>37100</v>
      </c>
      <c r="L54">
        <v>284047</v>
      </c>
      <c r="M54">
        <v>1514431</v>
      </c>
      <c r="N54">
        <v>236345</v>
      </c>
      <c r="O54">
        <v>1663156</v>
      </c>
    </row>
    <row r="55" spans="1:15">
      <c r="A55" t="s">
        <v>46</v>
      </c>
      <c r="B55" t="s">
        <v>44</v>
      </c>
      <c r="C55" t="s">
        <v>45</v>
      </c>
      <c r="D55" t="s">
        <v>6</v>
      </c>
      <c r="E55">
        <v>2019</v>
      </c>
      <c r="F55">
        <v>215864</v>
      </c>
      <c r="G55">
        <v>43920</v>
      </c>
      <c r="H55">
        <v>259784</v>
      </c>
      <c r="I55">
        <v>0.83</v>
      </c>
      <c r="J55">
        <v>0</v>
      </c>
      <c r="K55">
        <v>30333</v>
      </c>
      <c r="L55">
        <v>294302</v>
      </c>
      <c r="M55">
        <v>1555540</v>
      </c>
      <c r="N55">
        <v>236345</v>
      </c>
      <c r="O55">
        <v>1663156</v>
      </c>
    </row>
    <row r="56" spans="1:15">
      <c r="A56" t="s">
        <v>48</v>
      </c>
      <c r="B56" t="s">
        <v>47</v>
      </c>
      <c r="C56" t="s">
        <v>49</v>
      </c>
      <c r="D56" t="s">
        <v>6</v>
      </c>
      <c r="E56">
        <v>2022</v>
      </c>
      <c r="F56">
        <v>0</v>
      </c>
      <c r="G56">
        <v>0</v>
      </c>
      <c r="H56">
        <v>134671</v>
      </c>
      <c r="I56">
        <v>0</v>
      </c>
      <c r="J56">
        <v>0</v>
      </c>
      <c r="K56">
        <v>0</v>
      </c>
      <c r="L56">
        <v>127415</v>
      </c>
      <c r="M56">
        <v>0</v>
      </c>
      <c r="N56">
        <v>134671</v>
      </c>
      <c r="O56">
        <v>490040</v>
      </c>
    </row>
    <row r="57" spans="1:15">
      <c r="A57" t="s">
        <v>48</v>
      </c>
      <c r="B57" t="s">
        <v>47</v>
      </c>
      <c r="C57" t="s">
        <v>49</v>
      </c>
      <c r="D57" t="s">
        <v>6</v>
      </c>
      <c r="E57">
        <v>2021</v>
      </c>
      <c r="F57">
        <v>0</v>
      </c>
      <c r="G57">
        <v>0</v>
      </c>
      <c r="H57">
        <v>120032</v>
      </c>
      <c r="I57">
        <v>0</v>
      </c>
      <c r="J57">
        <v>0</v>
      </c>
      <c r="K57">
        <v>0</v>
      </c>
      <c r="L57">
        <v>113783</v>
      </c>
      <c r="M57">
        <v>0</v>
      </c>
      <c r="N57">
        <v>134671</v>
      </c>
      <c r="O57">
        <v>490040</v>
      </c>
    </row>
    <row r="58" spans="1:15">
      <c r="A58" t="s">
        <v>48</v>
      </c>
      <c r="B58" t="s">
        <v>47</v>
      </c>
      <c r="C58" t="s">
        <v>49</v>
      </c>
      <c r="D58" t="s">
        <v>6</v>
      </c>
      <c r="E58">
        <v>2020</v>
      </c>
      <c r="F58">
        <v>0</v>
      </c>
      <c r="G58">
        <v>0</v>
      </c>
      <c r="H58">
        <v>139901</v>
      </c>
      <c r="I58">
        <v>0</v>
      </c>
      <c r="J58">
        <v>0</v>
      </c>
      <c r="K58">
        <v>0</v>
      </c>
      <c r="L58">
        <v>134031</v>
      </c>
      <c r="M58">
        <v>0</v>
      </c>
      <c r="N58">
        <v>134671</v>
      </c>
      <c r="O58">
        <v>490040</v>
      </c>
    </row>
    <row r="59" spans="1:15">
      <c r="A59" t="s">
        <v>48</v>
      </c>
      <c r="B59" t="s">
        <v>47</v>
      </c>
      <c r="C59" t="s">
        <v>49</v>
      </c>
      <c r="D59" t="s">
        <v>6</v>
      </c>
      <c r="E59">
        <v>2019</v>
      </c>
      <c r="F59">
        <v>454961</v>
      </c>
      <c r="G59">
        <v>5119</v>
      </c>
      <c r="H59">
        <v>460080</v>
      </c>
      <c r="I59">
        <v>0.99</v>
      </c>
      <c r="J59">
        <v>0</v>
      </c>
      <c r="K59">
        <v>0</v>
      </c>
      <c r="L59">
        <v>450272</v>
      </c>
      <c r="M59">
        <v>63719</v>
      </c>
      <c r="N59">
        <v>134671</v>
      </c>
      <c r="O59">
        <v>490040</v>
      </c>
    </row>
    <row r="60" spans="1:15">
      <c r="A60" t="s">
        <v>51</v>
      </c>
      <c r="B60" t="s">
        <v>50</v>
      </c>
      <c r="C60" t="s">
        <v>52</v>
      </c>
      <c r="D60" t="s">
        <v>6</v>
      </c>
      <c r="E60">
        <v>2022</v>
      </c>
      <c r="F60">
        <v>209765</v>
      </c>
      <c r="G60">
        <v>353</v>
      </c>
      <c r="H60">
        <v>241948</v>
      </c>
      <c r="I60">
        <v>0.87</v>
      </c>
      <c r="J60">
        <v>48000</v>
      </c>
      <c r="K60">
        <v>0</v>
      </c>
      <c r="L60">
        <v>189854</v>
      </c>
      <c r="M60">
        <v>392098</v>
      </c>
      <c r="N60">
        <v>132799</v>
      </c>
      <c r="O60">
        <v>348789</v>
      </c>
    </row>
    <row r="61" spans="1:15">
      <c r="A61" t="s">
        <v>51</v>
      </c>
      <c r="B61" t="s">
        <v>50</v>
      </c>
      <c r="C61" t="s">
        <v>52</v>
      </c>
      <c r="D61" t="s">
        <v>6</v>
      </c>
      <c r="E61">
        <v>2021</v>
      </c>
      <c r="F61">
        <v>237393</v>
      </c>
      <c r="G61">
        <v>190</v>
      </c>
      <c r="H61">
        <v>265499</v>
      </c>
      <c r="I61">
        <v>0.89</v>
      </c>
      <c r="J61">
        <v>48000</v>
      </c>
      <c r="K61">
        <v>0</v>
      </c>
      <c r="L61">
        <v>166714</v>
      </c>
      <c r="M61">
        <v>340004</v>
      </c>
      <c r="N61">
        <v>132799</v>
      </c>
      <c r="O61">
        <v>348789</v>
      </c>
    </row>
    <row r="62" spans="1:15">
      <c r="A62" t="s">
        <v>51</v>
      </c>
      <c r="B62" t="s">
        <v>50</v>
      </c>
      <c r="C62" t="s">
        <v>52</v>
      </c>
      <c r="D62" t="s">
        <v>6</v>
      </c>
      <c r="E62">
        <v>2020</v>
      </c>
      <c r="F62">
        <v>0</v>
      </c>
      <c r="G62">
        <v>0</v>
      </c>
      <c r="H62">
        <v>44338</v>
      </c>
      <c r="I62">
        <v>0</v>
      </c>
      <c r="J62">
        <v>0</v>
      </c>
      <c r="K62">
        <v>0</v>
      </c>
      <c r="L62">
        <v>88121</v>
      </c>
      <c r="M62">
        <v>0</v>
      </c>
      <c r="N62">
        <v>132799</v>
      </c>
      <c r="O62">
        <v>348789</v>
      </c>
    </row>
    <row r="63" spans="1:15">
      <c r="A63" t="s">
        <v>51</v>
      </c>
      <c r="B63" t="s">
        <v>50</v>
      </c>
      <c r="C63" t="s">
        <v>52</v>
      </c>
      <c r="D63" t="s">
        <v>6</v>
      </c>
      <c r="E63">
        <v>2019</v>
      </c>
      <c r="F63">
        <v>0</v>
      </c>
      <c r="G63">
        <v>0</v>
      </c>
      <c r="H63">
        <v>120557</v>
      </c>
      <c r="I63">
        <v>0</v>
      </c>
      <c r="J63">
        <v>0</v>
      </c>
      <c r="K63">
        <v>0</v>
      </c>
      <c r="L63">
        <v>121326</v>
      </c>
      <c r="M63">
        <v>0</v>
      </c>
      <c r="N63">
        <v>132799</v>
      </c>
      <c r="O63">
        <v>348789</v>
      </c>
    </row>
    <row r="64" spans="1:15">
      <c r="A64" t="s">
        <v>54</v>
      </c>
      <c r="B64" t="s">
        <v>53</v>
      </c>
      <c r="C64" t="s">
        <v>9</v>
      </c>
      <c r="D64" t="s">
        <v>6</v>
      </c>
      <c r="E64">
        <v>2022</v>
      </c>
      <c r="F64">
        <v>0</v>
      </c>
      <c r="G64">
        <v>0</v>
      </c>
      <c r="H64">
        <v>61683</v>
      </c>
      <c r="I64">
        <v>0</v>
      </c>
      <c r="J64">
        <v>0</v>
      </c>
      <c r="K64">
        <v>0</v>
      </c>
      <c r="L64">
        <v>39782</v>
      </c>
      <c r="M64">
        <v>0</v>
      </c>
      <c r="N64">
        <v>114478</v>
      </c>
      <c r="O64">
        <v>172836</v>
      </c>
    </row>
    <row r="65" spans="1:15">
      <c r="A65" t="s">
        <v>54</v>
      </c>
      <c r="B65" t="s">
        <v>53</v>
      </c>
      <c r="C65" t="s">
        <v>9</v>
      </c>
      <c r="D65" t="s">
        <v>6</v>
      </c>
      <c r="E65">
        <v>2021</v>
      </c>
      <c r="F65">
        <v>0</v>
      </c>
      <c r="G65">
        <v>0</v>
      </c>
      <c r="H65">
        <v>47040</v>
      </c>
      <c r="I65">
        <v>0</v>
      </c>
      <c r="J65">
        <v>0</v>
      </c>
      <c r="K65">
        <v>0</v>
      </c>
      <c r="L65">
        <v>16152</v>
      </c>
      <c r="M65">
        <v>0</v>
      </c>
      <c r="N65">
        <v>114478</v>
      </c>
      <c r="O65">
        <v>172836</v>
      </c>
    </row>
    <row r="66" spans="1:15">
      <c r="A66" t="s">
        <v>54</v>
      </c>
      <c r="B66" t="s">
        <v>53</v>
      </c>
      <c r="C66" t="s">
        <v>9</v>
      </c>
      <c r="D66" t="s">
        <v>6</v>
      </c>
      <c r="E66">
        <v>2020</v>
      </c>
      <c r="F66">
        <v>0</v>
      </c>
      <c r="G66">
        <v>0</v>
      </c>
      <c r="H66">
        <v>46482</v>
      </c>
      <c r="I66">
        <v>0</v>
      </c>
      <c r="J66">
        <v>0</v>
      </c>
      <c r="K66">
        <v>0</v>
      </c>
      <c r="L66">
        <v>52940</v>
      </c>
      <c r="M66">
        <v>0</v>
      </c>
      <c r="N66">
        <v>114478</v>
      </c>
      <c r="O66">
        <v>172836</v>
      </c>
    </row>
    <row r="67" spans="1:15">
      <c r="A67" t="s">
        <v>54</v>
      </c>
      <c r="B67" t="s">
        <v>53</v>
      </c>
      <c r="C67" t="s">
        <v>9</v>
      </c>
      <c r="D67" t="s">
        <v>6</v>
      </c>
      <c r="E67">
        <v>2019</v>
      </c>
      <c r="F67">
        <v>0</v>
      </c>
      <c r="G67">
        <v>0</v>
      </c>
      <c r="H67">
        <v>53590</v>
      </c>
      <c r="I67">
        <v>0</v>
      </c>
      <c r="J67">
        <v>0</v>
      </c>
      <c r="K67">
        <v>0</v>
      </c>
      <c r="L67">
        <v>29383</v>
      </c>
      <c r="M67">
        <v>0</v>
      </c>
      <c r="N67">
        <v>114478</v>
      </c>
      <c r="O67">
        <v>172836</v>
      </c>
    </row>
    <row r="68" spans="1:15">
      <c r="A68" t="s">
        <v>56</v>
      </c>
      <c r="B68" t="s">
        <v>55</v>
      </c>
      <c r="C68" t="s">
        <v>57</v>
      </c>
      <c r="D68" t="s">
        <v>6</v>
      </c>
      <c r="E68">
        <v>2022</v>
      </c>
      <c r="F68">
        <v>39869</v>
      </c>
      <c r="G68">
        <v>12</v>
      </c>
      <c r="H68">
        <v>39881</v>
      </c>
      <c r="I68">
        <v>1</v>
      </c>
      <c r="J68">
        <v>0</v>
      </c>
      <c r="K68">
        <v>0</v>
      </c>
      <c r="L68">
        <v>40579</v>
      </c>
      <c r="M68">
        <v>87825</v>
      </c>
      <c r="N68">
        <v>105191</v>
      </c>
      <c r="O68">
        <v>116706</v>
      </c>
    </row>
    <row r="69" spans="1:15">
      <c r="A69" t="s">
        <v>56</v>
      </c>
      <c r="B69" t="s">
        <v>55</v>
      </c>
      <c r="C69" t="s">
        <v>57</v>
      </c>
      <c r="D69" t="s">
        <v>6</v>
      </c>
      <c r="E69">
        <v>2021</v>
      </c>
      <c r="F69">
        <v>6540</v>
      </c>
      <c r="G69">
        <v>19</v>
      </c>
      <c r="H69">
        <v>6559</v>
      </c>
      <c r="I69">
        <v>1</v>
      </c>
      <c r="J69">
        <v>0</v>
      </c>
      <c r="K69">
        <v>0</v>
      </c>
      <c r="L69">
        <v>17099</v>
      </c>
      <c r="M69">
        <v>88523</v>
      </c>
      <c r="N69">
        <v>105191</v>
      </c>
      <c r="O69">
        <v>116706</v>
      </c>
    </row>
    <row r="70" spans="1:15">
      <c r="A70" t="s">
        <v>56</v>
      </c>
      <c r="B70" t="s">
        <v>55</v>
      </c>
      <c r="C70" t="s">
        <v>57</v>
      </c>
      <c r="D70" t="s">
        <v>6</v>
      </c>
      <c r="E70">
        <v>2020</v>
      </c>
      <c r="F70">
        <v>40849</v>
      </c>
      <c r="G70">
        <v>15</v>
      </c>
      <c r="H70">
        <v>40864</v>
      </c>
      <c r="I70">
        <v>1</v>
      </c>
      <c r="J70">
        <v>0</v>
      </c>
      <c r="K70">
        <v>0</v>
      </c>
      <c r="L70">
        <v>47944</v>
      </c>
      <c r="M70">
        <v>99063</v>
      </c>
      <c r="N70">
        <v>105191</v>
      </c>
      <c r="O70">
        <v>116706</v>
      </c>
    </row>
    <row r="71" spans="1:15">
      <c r="A71" t="s">
        <v>56</v>
      </c>
      <c r="B71" t="s">
        <v>55</v>
      </c>
      <c r="C71" t="s">
        <v>57</v>
      </c>
      <c r="D71" t="s">
        <v>6</v>
      </c>
      <c r="E71">
        <v>2019</v>
      </c>
      <c r="F71">
        <v>47715</v>
      </c>
      <c r="G71">
        <v>11</v>
      </c>
      <c r="H71">
        <v>47726</v>
      </c>
      <c r="I71">
        <v>1</v>
      </c>
      <c r="J71">
        <v>0</v>
      </c>
      <c r="K71">
        <v>0</v>
      </c>
      <c r="L71">
        <v>56568</v>
      </c>
      <c r="M71">
        <v>106143</v>
      </c>
      <c r="N71">
        <v>105191</v>
      </c>
      <c r="O71">
        <v>116706</v>
      </c>
    </row>
    <row r="72" spans="1:15">
      <c r="A72" t="s">
        <v>59</v>
      </c>
      <c r="B72" t="s">
        <v>58</v>
      </c>
      <c r="C72" t="s">
        <v>60</v>
      </c>
      <c r="D72" t="s">
        <v>6</v>
      </c>
      <c r="E72">
        <v>2022</v>
      </c>
      <c r="F72">
        <v>0</v>
      </c>
      <c r="G72">
        <v>0</v>
      </c>
      <c r="H72">
        <v>81624</v>
      </c>
      <c r="I72">
        <v>0</v>
      </c>
      <c r="J72">
        <v>0</v>
      </c>
      <c r="K72">
        <v>0</v>
      </c>
      <c r="L72">
        <v>130205</v>
      </c>
      <c r="M72">
        <v>0</v>
      </c>
      <c r="N72">
        <v>101808</v>
      </c>
      <c r="O72">
        <v>219195</v>
      </c>
    </row>
    <row r="73" spans="1:15">
      <c r="A73" t="s">
        <v>59</v>
      </c>
      <c r="B73" t="s">
        <v>58</v>
      </c>
      <c r="C73" t="s">
        <v>60</v>
      </c>
      <c r="D73" t="s">
        <v>6</v>
      </c>
      <c r="E73">
        <v>2021</v>
      </c>
      <c r="F73">
        <v>0</v>
      </c>
      <c r="G73">
        <v>0</v>
      </c>
      <c r="H73">
        <v>100610</v>
      </c>
      <c r="I73">
        <v>0</v>
      </c>
      <c r="J73">
        <v>0</v>
      </c>
      <c r="K73">
        <v>0</v>
      </c>
      <c r="L73">
        <v>119917</v>
      </c>
      <c r="M73">
        <v>0</v>
      </c>
      <c r="N73">
        <v>101808</v>
      </c>
      <c r="O73">
        <v>219195</v>
      </c>
    </row>
    <row r="74" spans="1:15">
      <c r="A74" t="s">
        <v>59</v>
      </c>
      <c r="B74" t="s">
        <v>58</v>
      </c>
      <c r="C74" t="s">
        <v>60</v>
      </c>
      <c r="D74" t="s">
        <v>6</v>
      </c>
      <c r="E74">
        <v>2020</v>
      </c>
      <c r="F74">
        <v>368</v>
      </c>
      <c r="G74">
        <v>258449</v>
      </c>
      <c r="H74">
        <v>260362</v>
      </c>
      <c r="I74">
        <v>0</v>
      </c>
      <c r="J74">
        <v>185000</v>
      </c>
      <c r="K74">
        <v>0</v>
      </c>
      <c r="L74">
        <v>412275</v>
      </c>
      <c r="M74">
        <v>317658</v>
      </c>
      <c r="N74">
        <v>101808</v>
      </c>
      <c r="O74">
        <v>219195</v>
      </c>
    </row>
    <row r="75" spans="1:15">
      <c r="A75" t="s">
        <v>59</v>
      </c>
      <c r="B75" t="s">
        <v>58</v>
      </c>
      <c r="C75" t="s">
        <v>60</v>
      </c>
      <c r="D75" t="s">
        <v>6</v>
      </c>
      <c r="E75">
        <v>2019</v>
      </c>
      <c r="F75">
        <v>57684</v>
      </c>
      <c r="G75">
        <v>699044</v>
      </c>
      <c r="H75">
        <v>756728</v>
      </c>
      <c r="I75">
        <v>0.08</v>
      </c>
      <c r="J75">
        <v>244259</v>
      </c>
      <c r="K75">
        <v>0</v>
      </c>
      <c r="L75">
        <v>741402</v>
      </c>
      <c r="M75">
        <v>475643</v>
      </c>
      <c r="N75">
        <v>101808</v>
      </c>
      <c r="O75">
        <v>219195</v>
      </c>
    </row>
    <row r="76" spans="1:15">
      <c r="A76" t="s">
        <v>62</v>
      </c>
      <c r="B76" t="s">
        <v>61</v>
      </c>
      <c r="C76" t="s">
        <v>63</v>
      </c>
      <c r="D76" t="s">
        <v>6</v>
      </c>
      <c r="E76">
        <v>2022</v>
      </c>
      <c r="F76">
        <v>92251</v>
      </c>
      <c r="G76">
        <v>0</v>
      </c>
      <c r="H76">
        <v>92251</v>
      </c>
      <c r="I76">
        <v>1</v>
      </c>
      <c r="J76">
        <v>54000</v>
      </c>
      <c r="K76">
        <v>0</v>
      </c>
      <c r="L76">
        <v>136845</v>
      </c>
      <c r="M76">
        <v>610238</v>
      </c>
      <c r="N76">
        <v>82636</v>
      </c>
      <c r="O76">
        <v>617080</v>
      </c>
    </row>
    <row r="77" spans="1:15">
      <c r="A77" t="s">
        <v>62</v>
      </c>
      <c r="B77" t="s">
        <v>61</v>
      </c>
      <c r="C77" t="s">
        <v>63</v>
      </c>
      <c r="D77" t="s">
        <v>6</v>
      </c>
      <c r="E77">
        <v>2021</v>
      </c>
      <c r="F77">
        <v>179434</v>
      </c>
      <c r="G77">
        <v>0</v>
      </c>
      <c r="H77">
        <v>179434</v>
      </c>
      <c r="I77">
        <v>1</v>
      </c>
      <c r="J77">
        <v>54000</v>
      </c>
      <c r="K77">
        <v>0</v>
      </c>
      <c r="L77">
        <v>263934</v>
      </c>
      <c r="M77">
        <v>767029</v>
      </c>
      <c r="N77">
        <v>82636</v>
      </c>
      <c r="O77">
        <v>617080</v>
      </c>
    </row>
    <row r="78" spans="1:15">
      <c r="A78" t="s">
        <v>62</v>
      </c>
      <c r="B78" t="s">
        <v>61</v>
      </c>
      <c r="C78" t="s">
        <v>63</v>
      </c>
      <c r="D78" t="s">
        <v>6</v>
      </c>
      <c r="E78">
        <v>2020</v>
      </c>
      <c r="F78">
        <v>95682</v>
      </c>
      <c r="G78">
        <v>33843</v>
      </c>
      <c r="H78">
        <v>129525</v>
      </c>
      <c r="I78">
        <v>0.74</v>
      </c>
      <c r="J78">
        <v>48500</v>
      </c>
      <c r="K78">
        <v>0</v>
      </c>
      <c r="L78">
        <v>287589</v>
      </c>
      <c r="M78">
        <v>765963</v>
      </c>
      <c r="N78">
        <v>82636</v>
      </c>
      <c r="O78">
        <v>617080</v>
      </c>
    </row>
    <row r="79" spans="1:15">
      <c r="A79" t="s">
        <v>62</v>
      </c>
      <c r="B79" t="s">
        <v>61</v>
      </c>
      <c r="C79" t="s">
        <v>63</v>
      </c>
      <c r="D79" t="s">
        <v>6</v>
      </c>
      <c r="E79">
        <v>2019</v>
      </c>
      <c r="F79">
        <v>43945</v>
      </c>
      <c r="G79">
        <v>593477</v>
      </c>
      <c r="H79">
        <v>637422</v>
      </c>
      <c r="I79">
        <v>7.0000000000000007E-2</v>
      </c>
      <c r="J79">
        <v>47000</v>
      </c>
      <c r="K79">
        <v>0</v>
      </c>
      <c r="L79">
        <v>213173</v>
      </c>
      <c r="M79">
        <v>861276</v>
      </c>
      <c r="N79">
        <v>82636</v>
      </c>
      <c r="O79">
        <v>617080</v>
      </c>
    </row>
    <row r="80" spans="1:15">
      <c r="A80" t="s">
        <v>65</v>
      </c>
      <c r="B80" t="s">
        <v>64</v>
      </c>
      <c r="C80" t="s">
        <v>66</v>
      </c>
      <c r="D80" t="s">
        <v>6</v>
      </c>
      <c r="E80">
        <v>2022</v>
      </c>
      <c r="F80">
        <v>0</v>
      </c>
      <c r="G80">
        <v>0</v>
      </c>
      <c r="H80">
        <v>152553</v>
      </c>
      <c r="I80">
        <v>0</v>
      </c>
      <c r="J80">
        <v>0</v>
      </c>
      <c r="K80">
        <v>0</v>
      </c>
      <c r="L80">
        <v>51078</v>
      </c>
      <c r="M80">
        <v>0</v>
      </c>
      <c r="N80">
        <v>44071</v>
      </c>
      <c r="O80">
        <v>421068</v>
      </c>
    </row>
    <row r="81" spans="1:15">
      <c r="A81" t="s">
        <v>65</v>
      </c>
      <c r="B81" t="s">
        <v>64</v>
      </c>
      <c r="C81" t="s">
        <v>66</v>
      </c>
      <c r="D81" t="s">
        <v>6</v>
      </c>
      <c r="E81">
        <v>2020</v>
      </c>
      <c r="F81">
        <v>0</v>
      </c>
      <c r="G81">
        <v>0</v>
      </c>
      <c r="H81">
        <v>67300</v>
      </c>
      <c r="I81">
        <v>0</v>
      </c>
      <c r="J81">
        <v>0</v>
      </c>
      <c r="K81">
        <v>0</v>
      </c>
      <c r="L81">
        <v>62601</v>
      </c>
      <c r="M81">
        <v>0</v>
      </c>
      <c r="N81">
        <v>44071</v>
      </c>
      <c r="O81">
        <v>421068</v>
      </c>
    </row>
    <row r="82" spans="1:15">
      <c r="A82" t="s">
        <v>69</v>
      </c>
      <c r="B82" t="s">
        <v>67</v>
      </c>
      <c r="C82" t="s">
        <v>68</v>
      </c>
      <c r="D82" t="s">
        <v>6</v>
      </c>
      <c r="E82">
        <v>2020</v>
      </c>
      <c r="F82">
        <v>1052033</v>
      </c>
      <c r="G82">
        <v>22636</v>
      </c>
      <c r="H82">
        <v>1086568</v>
      </c>
      <c r="I82">
        <v>0.97</v>
      </c>
      <c r="J82">
        <v>167000</v>
      </c>
      <c r="K82">
        <v>25026</v>
      </c>
      <c r="L82">
        <v>1281778</v>
      </c>
      <c r="M82">
        <v>572235</v>
      </c>
      <c r="N82">
        <v>2942863</v>
      </c>
      <c r="O82">
        <v>703781</v>
      </c>
    </row>
    <row r="83" spans="1:15">
      <c r="A83" t="s">
        <v>69</v>
      </c>
      <c r="B83" t="s">
        <v>67</v>
      </c>
      <c r="C83" t="s">
        <v>68</v>
      </c>
      <c r="D83" t="s">
        <v>6</v>
      </c>
      <c r="E83">
        <v>2019</v>
      </c>
      <c r="F83">
        <v>1327437</v>
      </c>
      <c r="G83">
        <v>191321</v>
      </c>
      <c r="H83">
        <v>1529502</v>
      </c>
      <c r="I83">
        <v>0.87</v>
      </c>
      <c r="J83">
        <v>226063</v>
      </c>
      <c r="K83">
        <v>0</v>
      </c>
      <c r="L83">
        <v>792166</v>
      </c>
      <c r="M83">
        <v>767445</v>
      </c>
      <c r="N83">
        <v>2942863</v>
      </c>
      <c r="O83">
        <v>703781</v>
      </c>
    </row>
    <row r="84" spans="1:15">
      <c r="A84" t="s">
        <v>72</v>
      </c>
      <c r="B84" t="s">
        <v>70</v>
      </c>
      <c r="C84" t="s">
        <v>71</v>
      </c>
      <c r="D84" t="s">
        <v>6</v>
      </c>
      <c r="E84">
        <v>2022</v>
      </c>
      <c r="F84">
        <v>2344401</v>
      </c>
      <c r="G84">
        <v>219576</v>
      </c>
      <c r="H84">
        <v>2570056</v>
      </c>
      <c r="I84">
        <v>0.91</v>
      </c>
      <c r="J84">
        <v>270238</v>
      </c>
      <c r="K84">
        <v>853511</v>
      </c>
      <c r="L84">
        <v>1680433</v>
      </c>
      <c r="M84">
        <v>1742816</v>
      </c>
      <c r="N84">
        <v>2118458</v>
      </c>
      <c r="O84">
        <v>2426668</v>
      </c>
    </row>
    <row r="85" spans="1:15">
      <c r="A85" t="s">
        <v>72</v>
      </c>
      <c r="B85" t="s">
        <v>70</v>
      </c>
      <c r="C85" t="s">
        <v>71</v>
      </c>
      <c r="D85" t="s">
        <v>6</v>
      </c>
      <c r="E85">
        <v>2021</v>
      </c>
      <c r="F85">
        <v>1245090</v>
      </c>
      <c r="G85">
        <v>246645</v>
      </c>
      <c r="H85">
        <v>1495238</v>
      </c>
      <c r="I85">
        <v>0.83</v>
      </c>
      <c r="J85">
        <v>251716</v>
      </c>
      <c r="K85">
        <v>755454</v>
      </c>
      <c r="L85">
        <v>1475817</v>
      </c>
      <c r="M85">
        <v>1102272</v>
      </c>
      <c r="N85">
        <v>2118458</v>
      </c>
      <c r="O85">
        <v>2426668</v>
      </c>
    </row>
    <row r="86" spans="1:15">
      <c r="A86" t="s">
        <v>72</v>
      </c>
      <c r="B86" t="s">
        <v>70</v>
      </c>
      <c r="C86" t="s">
        <v>71</v>
      </c>
      <c r="D86" t="s">
        <v>6</v>
      </c>
      <c r="E86">
        <v>2020</v>
      </c>
      <c r="F86">
        <v>1213216</v>
      </c>
      <c r="G86">
        <v>201890</v>
      </c>
      <c r="H86">
        <v>1487284</v>
      </c>
      <c r="I86">
        <v>0.82</v>
      </c>
      <c r="J86">
        <v>224675</v>
      </c>
      <c r="K86">
        <v>783039</v>
      </c>
      <c r="L86">
        <v>1502839</v>
      </c>
      <c r="M86">
        <v>1017126</v>
      </c>
      <c r="N86">
        <v>2118458</v>
      </c>
      <c r="O86">
        <v>2426668</v>
      </c>
    </row>
    <row r="87" spans="1:15">
      <c r="A87" t="s">
        <v>72</v>
      </c>
      <c r="B87" t="s">
        <v>70</v>
      </c>
      <c r="C87" t="s">
        <v>71</v>
      </c>
      <c r="D87" t="s">
        <v>6</v>
      </c>
      <c r="E87">
        <v>2019</v>
      </c>
      <c r="F87">
        <v>1231045</v>
      </c>
      <c r="G87">
        <v>292549</v>
      </c>
      <c r="H87">
        <v>1523594</v>
      </c>
      <c r="I87">
        <v>0.81</v>
      </c>
      <c r="J87">
        <v>218135</v>
      </c>
      <c r="K87">
        <v>639076</v>
      </c>
      <c r="L87">
        <v>1593584</v>
      </c>
      <c r="M87">
        <v>1100144</v>
      </c>
      <c r="N87">
        <v>2118458</v>
      </c>
      <c r="O87">
        <v>2426668</v>
      </c>
    </row>
    <row r="88" spans="1:15">
      <c r="A88" t="s">
        <v>74</v>
      </c>
      <c r="B88" t="s">
        <v>73</v>
      </c>
      <c r="C88" t="s">
        <v>9</v>
      </c>
      <c r="D88" t="s">
        <v>6</v>
      </c>
      <c r="E88">
        <v>2022</v>
      </c>
      <c r="F88">
        <v>630499</v>
      </c>
      <c r="G88">
        <v>1306127</v>
      </c>
      <c r="H88">
        <v>1936406</v>
      </c>
      <c r="I88">
        <v>0.33</v>
      </c>
      <c r="J88">
        <v>126334</v>
      </c>
      <c r="K88">
        <v>990102</v>
      </c>
      <c r="L88">
        <v>1813227</v>
      </c>
      <c r="M88">
        <v>1073185</v>
      </c>
      <c r="N88">
        <v>2097188</v>
      </c>
      <c r="O88">
        <v>1309500</v>
      </c>
    </row>
    <row r="89" spans="1:15">
      <c r="A89" t="s">
        <v>74</v>
      </c>
      <c r="B89" t="s">
        <v>73</v>
      </c>
      <c r="C89" t="s">
        <v>9</v>
      </c>
      <c r="D89" t="s">
        <v>6</v>
      </c>
      <c r="E89">
        <v>2021</v>
      </c>
      <c r="F89">
        <v>329658</v>
      </c>
      <c r="G89">
        <v>1008072</v>
      </c>
      <c r="H89">
        <v>1340137</v>
      </c>
      <c r="I89">
        <v>0.25</v>
      </c>
      <c r="J89">
        <v>184181</v>
      </c>
      <c r="K89">
        <v>671362</v>
      </c>
      <c r="L89">
        <v>1458598</v>
      </c>
      <c r="M89">
        <v>1011704</v>
      </c>
      <c r="N89">
        <v>2097188</v>
      </c>
      <c r="O89">
        <v>1309500</v>
      </c>
    </row>
    <row r="90" spans="1:15">
      <c r="A90" t="s">
        <v>74</v>
      </c>
      <c r="B90" t="s">
        <v>73</v>
      </c>
      <c r="C90" t="s">
        <v>9</v>
      </c>
      <c r="D90" t="s">
        <v>6</v>
      </c>
      <c r="E90">
        <v>2020</v>
      </c>
      <c r="F90">
        <v>547843</v>
      </c>
      <c r="G90">
        <v>966402</v>
      </c>
      <c r="H90">
        <v>1508757</v>
      </c>
      <c r="I90">
        <v>0.36</v>
      </c>
      <c r="J90">
        <v>133359</v>
      </c>
      <c r="K90">
        <v>717143</v>
      </c>
      <c r="L90">
        <v>1398627</v>
      </c>
      <c r="M90">
        <v>1054891</v>
      </c>
      <c r="N90">
        <v>2097188</v>
      </c>
      <c r="O90">
        <v>1309500</v>
      </c>
    </row>
    <row r="91" spans="1:15">
      <c r="A91" t="s">
        <v>74</v>
      </c>
      <c r="B91" t="s">
        <v>73</v>
      </c>
      <c r="C91" t="s">
        <v>9</v>
      </c>
      <c r="D91" t="s">
        <v>6</v>
      </c>
      <c r="E91">
        <v>2019</v>
      </c>
      <c r="F91">
        <v>503287</v>
      </c>
      <c r="G91">
        <v>1290926</v>
      </c>
      <c r="H91">
        <v>1804843</v>
      </c>
      <c r="I91">
        <v>0.28000000000000003</v>
      </c>
      <c r="J91">
        <v>110000</v>
      </c>
      <c r="K91">
        <v>752363</v>
      </c>
      <c r="L91">
        <v>1694103</v>
      </c>
      <c r="M91">
        <v>917718</v>
      </c>
      <c r="N91">
        <v>2097188</v>
      </c>
      <c r="O91">
        <v>1309500</v>
      </c>
    </row>
    <row r="92" spans="1:15">
      <c r="A92" t="s">
        <v>76</v>
      </c>
      <c r="B92" t="s">
        <v>75</v>
      </c>
      <c r="C92" t="s">
        <v>63</v>
      </c>
      <c r="D92" t="s">
        <v>6</v>
      </c>
      <c r="E92">
        <v>2022</v>
      </c>
      <c r="F92">
        <v>939705</v>
      </c>
      <c r="G92">
        <v>2122</v>
      </c>
      <c r="H92">
        <v>941249</v>
      </c>
      <c r="I92">
        <v>1</v>
      </c>
      <c r="J92">
        <v>155450</v>
      </c>
      <c r="K92">
        <v>142176</v>
      </c>
      <c r="L92">
        <v>674629</v>
      </c>
      <c r="M92">
        <v>1375594</v>
      </c>
      <c r="N92">
        <v>1836081</v>
      </c>
      <c r="O92">
        <v>2106124</v>
      </c>
    </row>
    <row r="93" spans="1:15">
      <c r="A93" t="s">
        <v>76</v>
      </c>
      <c r="B93" t="s">
        <v>75</v>
      </c>
      <c r="C93" t="s">
        <v>63</v>
      </c>
      <c r="D93" t="s">
        <v>6</v>
      </c>
      <c r="E93">
        <v>2021</v>
      </c>
      <c r="F93">
        <v>755623</v>
      </c>
      <c r="G93">
        <v>456</v>
      </c>
      <c r="H93">
        <v>741797</v>
      </c>
      <c r="I93">
        <v>1.02</v>
      </c>
      <c r="J93">
        <v>155300</v>
      </c>
      <c r="K93">
        <v>101892</v>
      </c>
      <c r="L93">
        <v>618885</v>
      </c>
      <c r="M93">
        <v>1108974</v>
      </c>
      <c r="N93">
        <v>1836081</v>
      </c>
      <c r="O93">
        <v>2106124</v>
      </c>
    </row>
    <row r="94" spans="1:15">
      <c r="A94" t="s">
        <v>76</v>
      </c>
      <c r="B94" t="s">
        <v>75</v>
      </c>
      <c r="C94" t="s">
        <v>63</v>
      </c>
      <c r="D94" t="s">
        <v>6</v>
      </c>
      <c r="E94">
        <v>2020</v>
      </c>
      <c r="F94">
        <v>1015157</v>
      </c>
      <c r="G94">
        <v>1275</v>
      </c>
      <c r="H94">
        <v>999951</v>
      </c>
      <c r="I94">
        <v>1.02</v>
      </c>
      <c r="J94">
        <v>155250</v>
      </c>
      <c r="K94">
        <v>93995</v>
      </c>
      <c r="L94">
        <v>501502</v>
      </c>
      <c r="M94">
        <v>986062</v>
      </c>
      <c r="N94">
        <v>1836081</v>
      </c>
      <c r="O94">
        <v>2106124</v>
      </c>
    </row>
    <row r="95" spans="1:15">
      <c r="A95" t="s">
        <v>76</v>
      </c>
      <c r="B95" t="s">
        <v>75</v>
      </c>
      <c r="C95" t="s">
        <v>63</v>
      </c>
      <c r="D95" t="s">
        <v>6</v>
      </c>
      <c r="E95">
        <v>2019</v>
      </c>
      <c r="F95">
        <v>500079</v>
      </c>
      <c r="G95">
        <v>1692</v>
      </c>
      <c r="H95">
        <v>529975</v>
      </c>
      <c r="I95">
        <v>0.94</v>
      </c>
      <c r="J95">
        <v>136324</v>
      </c>
      <c r="K95">
        <v>67783</v>
      </c>
      <c r="L95">
        <v>429846</v>
      </c>
      <c r="M95">
        <v>487613</v>
      </c>
      <c r="N95">
        <v>1836081</v>
      </c>
      <c r="O95">
        <v>2106124</v>
      </c>
    </row>
    <row r="96" spans="1:15">
      <c r="A96" t="s">
        <v>78</v>
      </c>
      <c r="B96" t="s">
        <v>77</v>
      </c>
      <c r="C96" t="s">
        <v>52</v>
      </c>
      <c r="D96" t="s">
        <v>6</v>
      </c>
      <c r="E96">
        <v>2022</v>
      </c>
      <c r="F96">
        <v>1195999</v>
      </c>
      <c r="G96">
        <v>1315</v>
      </c>
      <c r="H96">
        <v>1197314</v>
      </c>
      <c r="I96">
        <v>1</v>
      </c>
      <c r="J96">
        <v>80308</v>
      </c>
      <c r="K96">
        <v>665221</v>
      </c>
      <c r="L96">
        <v>1053175</v>
      </c>
      <c r="M96">
        <v>1119071</v>
      </c>
      <c r="N96">
        <v>1670660</v>
      </c>
      <c r="O96">
        <v>1441271</v>
      </c>
    </row>
    <row r="97" spans="1:15">
      <c r="A97" t="s">
        <v>78</v>
      </c>
      <c r="B97" t="s">
        <v>77</v>
      </c>
      <c r="C97" t="s">
        <v>52</v>
      </c>
      <c r="D97" t="s">
        <v>6</v>
      </c>
      <c r="E97">
        <v>2021</v>
      </c>
      <c r="F97">
        <v>1489539</v>
      </c>
      <c r="G97">
        <v>13686</v>
      </c>
      <c r="H97">
        <v>1508083</v>
      </c>
      <c r="I97">
        <v>0.99</v>
      </c>
      <c r="J97">
        <v>0</v>
      </c>
      <c r="K97">
        <v>563616</v>
      </c>
      <c r="L97">
        <v>1002017</v>
      </c>
      <c r="M97">
        <v>975975</v>
      </c>
      <c r="N97">
        <v>1670660</v>
      </c>
      <c r="O97">
        <v>1441271</v>
      </c>
    </row>
    <row r="98" spans="1:15">
      <c r="A98" t="s">
        <v>78</v>
      </c>
      <c r="B98" t="s">
        <v>77</v>
      </c>
      <c r="C98" t="s">
        <v>52</v>
      </c>
      <c r="D98" t="s">
        <v>6</v>
      </c>
      <c r="E98">
        <v>2020</v>
      </c>
      <c r="F98">
        <v>1049786</v>
      </c>
      <c r="G98">
        <v>6232</v>
      </c>
      <c r="H98">
        <v>1032275</v>
      </c>
      <c r="I98">
        <v>1.02</v>
      </c>
      <c r="J98">
        <v>52053</v>
      </c>
      <c r="K98">
        <v>450178</v>
      </c>
      <c r="L98">
        <v>931951</v>
      </c>
      <c r="M98">
        <v>469873</v>
      </c>
      <c r="N98">
        <v>1670660</v>
      </c>
      <c r="O98">
        <v>1441271</v>
      </c>
    </row>
    <row r="99" spans="1:15">
      <c r="A99" t="s">
        <v>78</v>
      </c>
      <c r="B99" t="s">
        <v>77</v>
      </c>
      <c r="C99" t="s">
        <v>52</v>
      </c>
      <c r="D99" t="s">
        <v>6</v>
      </c>
      <c r="E99">
        <v>2019</v>
      </c>
      <c r="F99">
        <v>904789</v>
      </c>
      <c r="G99">
        <v>31471</v>
      </c>
      <c r="H99">
        <v>921966</v>
      </c>
      <c r="I99">
        <v>0.98</v>
      </c>
      <c r="J99">
        <v>0</v>
      </c>
      <c r="K99">
        <v>377372</v>
      </c>
      <c r="L99">
        <v>587655</v>
      </c>
      <c r="M99">
        <v>367735</v>
      </c>
      <c r="N99">
        <v>1670660</v>
      </c>
      <c r="O99">
        <v>1441271</v>
      </c>
    </row>
    <row r="100" spans="1:15">
      <c r="A100" t="s">
        <v>80</v>
      </c>
      <c r="B100" t="s">
        <v>79</v>
      </c>
      <c r="C100" t="s">
        <v>9</v>
      </c>
      <c r="D100" t="s">
        <v>6</v>
      </c>
      <c r="E100">
        <v>2022</v>
      </c>
      <c r="F100">
        <v>0</v>
      </c>
      <c r="G100">
        <v>0</v>
      </c>
      <c r="H100">
        <v>267725</v>
      </c>
      <c r="I100">
        <v>0</v>
      </c>
      <c r="J100">
        <v>0</v>
      </c>
      <c r="K100">
        <v>0</v>
      </c>
      <c r="L100">
        <v>49292</v>
      </c>
      <c r="M100">
        <v>0</v>
      </c>
      <c r="N100">
        <v>1611057</v>
      </c>
      <c r="O100">
        <v>1916038</v>
      </c>
    </row>
    <row r="101" spans="1:15">
      <c r="A101" t="s">
        <v>80</v>
      </c>
      <c r="B101" t="s">
        <v>79</v>
      </c>
      <c r="C101" t="s">
        <v>9</v>
      </c>
      <c r="D101" t="s">
        <v>6</v>
      </c>
      <c r="E101">
        <v>2021</v>
      </c>
      <c r="F101">
        <v>0</v>
      </c>
      <c r="G101">
        <v>0</v>
      </c>
      <c r="H101">
        <v>280862</v>
      </c>
      <c r="I101">
        <v>0</v>
      </c>
      <c r="J101">
        <v>0</v>
      </c>
      <c r="K101">
        <v>0</v>
      </c>
      <c r="L101">
        <v>45735</v>
      </c>
      <c r="M101">
        <v>0</v>
      </c>
      <c r="N101">
        <v>1611057</v>
      </c>
      <c r="O101">
        <v>1916038</v>
      </c>
    </row>
    <row r="102" spans="1:15">
      <c r="A102" t="s">
        <v>80</v>
      </c>
      <c r="B102" t="s">
        <v>79</v>
      </c>
      <c r="C102" t="s">
        <v>9</v>
      </c>
      <c r="D102" t="s">
        <v>6</v>
      </c>
      <c r="E102">
        <v>2020</v>
      </c>
      <c r="F102">
        <v>0</v>
      </c>
      <c r="G102">
        <v>0</v>
      </c>
      <c r="H102">
        <v>135073</v>
      </c>
      <c r="I102">
        <v>0</v>
      </c>
      <c r="J102">
        <v>0</v>
      </c>
      <c r="K102">
        <v>0</v>
      </c>
      <c r="L102">
        <v>33377</v>
      </c>
      <c r="M102">
        <v>0</v>
      </c>
      <c r="N102">
        <v>1611057</v>
      </c>
      <c r="O102">
        <v>1916038</v>
      </c>
    </row>
    <row r="103" spans="1:15">
      <c r="A103" t="s">
        <v>80</v>
      </c>
      <c r="B103" t="s">
        <v>79</v>
      </c>
      <c r="C103" t="s">
        <v>9</v>
      </c>
      <c r="D103" t="s">
        <v>6</v>
      </c>
      <c r="E103">
        <v>2019</v>
      </c>
      <c r="F103">
        <v>0</v>
      </c>
      <c r="G103">
        <v>0</v>
      </c>
      <c r="H103">
        <v>30820</v>
      </c>
      <c r="I103">
        <v>0</v>
      </c>
      <c r="J103">
        <v>0</v>
      </c>
      <c r="K103">
        <v>0</v>
      </c>
      <c r="L103">
        <v>15079</v>
      </c>
      <c r="M103">
        <v>0</v>
      </c>
      <c r="N103">
        <v>1611057</v>
      </c>
      <c r="O103">
        <v>1916038</v>
      </c>
    </row>
    <row r="104" spans="1:15">
      <c r="A104" t="s">
        <v>82</v>
      </c>
      <c r="B104" t="s">
        <v>81</v>
      </c>
      <c r="C104" t="s">
        <v>68</v>
      </c>
      <c r="D104" t="s">
        <v>6</v>
      </c>
      <c r="E104">
        <v>2022</v>
      </c>
      <c r="F104">
        <v>1402704</v>
      </c>
      <c r="G104">
        <v>40356</v>
      </c>
      <c r="H104">
        <v>1456340</v>
      </c>
      <c r="I104">
        <v>0.96</v>
      </c>
      <c r="J104">
        <v>125009</v>
      </c>
      <c r="K104">
        <v>462758</v>
      </c>
      <c r="L104">
        <v>1123941</v>
      </c>
      <c r="M104">
        <v>818593</v>
      </c>
      <c r="N104">
        <v>1607577</v>
      </c>
      <c r="O104">
        <v>1422060</v>
      </c>
    </row>
    <row r="105" spans="1:15">
      <c r="A105" t="s">
        <v>82</v>
      </c>
      <c r="B105" t="s">
        <v>81</v>
      </c>
      <c r="C105" t="s">
        <v>68</v>
      </c>
      <c r="D105" t="s">
        <v>6</v>
      </c>
      <c r="E105">
        <v>2021</v>
      </c>
      <c r="F105">
        <v>954643</v>
      </c>
      <c r="G105">
        <v>8639</v>
      </c>
      <c r="H105">
        <v>992611</v>
      </c>
      <c r="I105">
        <v>0.96</v>
      </c>
      <c r="J105">
        <v>96710</v>
      </c>
      <c r="K105">
        <v>205596</v>
      </c>
      <c r="L105">
        <v>845145</v>
      </c>
      <c r="M105">
        <v>407389</v>
      </c>
      <c r="N105">
        <v>1607577</v>
      </c>
      <c r="O105">
        <v>1422060</v>
      </c>
    </row>
    <row r="106" spans="1:15">
      <c r="A106" t="s">
        <v>82</v>
      </c>
      <c r="B106" t="s">
        <v>81</v>
      </c>
      <c r="C106" t="s">
        <v>68</v>
      </c>
      <c r="D106" t="s">
        <v>6</v>
      </c>
      <c r="E106">
        <v>2020</v>
      </c>
      <c r="F106">
        <v>839811</v>
      </c>
      <c r="G106">
        <v>11890</v>
      </c>
      <c r="H106">
        <v>863468</v>
      </c>
      <c r="I106">
        <v>0.97</v>
      </c>
      <c r="J106">
        <v>91124</v>
      </c>
      <c r="K106">
        <v>352537</v>
      </c>
      <c r="L106">
        <v>831504</v>
      </c>
      <c r="M106">
        <v>225265</v>
      </c>
      <c r="N106">
        <v>1607577</v>
      </c>
      <c r="O106">
        <v>1422060</v>
      </c>
    </row>
    <row r="107" spans="1:15">
      <c r="A107" t="s">
        <v>82</v>
      </c>
      <c r="B107" t="s">
        <v>81</v>
      </c>
      <c r="C107" t="s">
        <v>68</v>
      </c>
      <c r="D107" t="s">
        <v>6</v>
      </c>
      <c r="E107">
        <v>2019</v>
      </c>
      <c r="F107">
        <v>933994</v>
      </c>
      <c r="G107">
        <v>40544</v>
      </c>
      <c r="H107">
        <v>991792</v>
      </c>
      <c r="I107">
        <v>0.94</v>
      </c>
      <c r="J107">
        <v>86039</v>
      </c>
      <c r="K107">
        <v>422553</v>
      </c>
      <c r="L107">
        <v>1065121</v>
      </c>
      <c r="M107">
        <v>202295</v>
      </c>
      <c r="N107">
        <v>1607577</v>
      </c>
      <c r="O107">
        <v>1422060</v>
      </c>
    </row>
    <row r="108" spans="1:15">
      <c r="A108" t="s">
        <v>85</v>
      </c>
      <c r="B108" t="s">
        <v>83</v>
      </c>
      <c r="C108" t="s">
        <v>84</v>
      </c>
      <c r="D108" t="s">
        <v>6</v>
      </c>
      <c r="E108">
        <v>2022</v>
      </c>
      <c r="F108">
        <v>390258</v>
      </c>
      <c r="G108">
        <v>243430</v>
      </c>
      <c r="H108">
        <v>635357</v>
      </c>
      <c r="I108">
        <v>0.61</v>
      </c>
      <c r="J108">
        <v>312319</v>
      </c>
      <c r="K108">
        <v>35105</v>
      </c>
      <c r="L108">
        <v>1156659</v>
      </c>
      <c r="M108">
        <v>1092272</v>
      </c>
      <c r="N108">
        <v>1602872</v>
      </c>
      <c r="O108">
        <v>886037</v>
      </c>
    </row>
    <row r="109" spans="1:15">
      <c r="A109" t="s">
        <v>85</v>
      </c>
      <c r="B109" t="s">
        <v>83</v>
      </c>
      <c r="C109" t="s">
        <v>84</v>
      </c>
      <c r="D109" t="s">
        <v>6</v>
      </c>
      <c r="E109">
        <v>2021</v>
      </c>
      <c r="F109">
        <v>1267452</v>
      </c>
      <c r="G109">
        <v>350418</v>
      </c>
      <c r="H109">
        <v>1617995</v>
      </c>
      <c r="I109">
        <v>0.78</v>
      </c>
      <c r="J109">
        <v>241656</v>
      </c>
      <c r="K109">
        <v>51356</v>
      </c>
      <c r="L109">
        <v>1411389</v>
      </c>
      <c r="M109">
        <v>1613574</v>
      </c>
      <c r="N109">
        <v>1602872</v>
      </c>
      <c r="O109">
        <v>886037</v>
      </c>
    </row>
    <row r="110" spans="1:15">
      <c r="A110" t="s">
        <v>85</v>
      </c>
      <c r="B110" t="s">
        <v>83</v>
      </c>
      <c r="C110" t="s">
        <v>84</v>
      </c>
      <c r="D110" t="s">
        <v>6</v>
      </c>
      <c r="E110">
        <v>2020</v>
      </c>
      <c r="F110">
        <v>1737003</v>
      </c>
      <c r="G110">
        <v>140954</v>
      </c>
      <c r="H110">
        <v>1878207</v>
      </c>
      <c r="I110">
        <v>0.92</v>
      </c>
      <c r="J110">
        <v>0</v>
      </c>
      <c r="K110">
        <v>138461</v>
      </c>
      <c r="L110">
        <v>495857</v>
      </c>
      <c r="M110">
        <v>1406967</v>
      </c>
      <c r="N110">
        <v>1602872</v>
      </c>
      <c r="O110">
        <v>886037</v>
      </c>
    </row>
    <row r="111" spans="1:15">
      <c r="A111" t="s">
        <v>85</v>
      </c>
      <c r="B111" t="s">
        <v>83</v>
      </c>
      <c r="C111" t="s">
        <v>84</v>
      </c>
      <c r="D111" t="s">
        <v>6</v>
      </c>
      <c r="E111">
        <v>2019</v>
      </c>
      <c r="F111">
        <v>1780829</v>
      </c>
      <c r="G111">
        <v>558212</v>
      </c>
      <c r="H111">
        <v>2343503</v>
      </c>
      <c r="I111">
        <v>0.76</v>
      </c>
      <c r="J111">
        <v>0</v>
      </c>
      <c r="K111">
        <v>262284</v>
      </c>
      <c r="L111">
        <v>2482620</v>
      </c>
      <c r="M111">
        <v>-41788</v>
      </c>
      <c r="N111">
        <v>1602872</v>
      </c>
      <c r="O111">
        <v>886037</v>
      </c>
    </row>
    <row r="112" spans="1:15">
      <c r="A112" t="s">
        <v>87</v>
      </c>
      <c r="B112" t="s">
        <v>86</v>
      </c>
      <c r="C112" t="s">
        <v>28</v>
      </c>
      <c r="D112" t="s">
        <v>6</v>
      </c>
      <c r="E112">
        <v>2022</v>
      </c>
      <c r="F112">
        <v>1296014</v>
      </c>
      <c r="G112">
        <v>606914</v>
      </c>
      <c r="H112">
        <v>1890507</v>
      </c>
      <c r="I112">
        <v>0.69</v>
      </c>
      <c r="J112">
        <v>113077</v>
      </c>
      <c r="K112">
        <v>524362</v>
      </c>
      <c r="L112">
        <v>1456490</v>
      </c>
      <c r="M112">
        <v>6155016</v>
      </c>
      <c r="N112">
        <v>1572244</v>
      </c>
      <c r="O112">
        <v>6191148</v>
      </c>
    </row>
    <row r="113" spans="1:15">
      <c r="A113" t="s">
        <v>87</v>
      </c>
      <c r="B113" t="s">
        <v>86</v>
      </c>
      <c r="C113" t="s">
        <v>28</v>
      </c>
      <c r="D113" t="s">
        <v>6</v>
      </c>
      <c r="E113">
        <v>2021</v>
      </c>
      <c r="F113">
        <v>1052361</v>
      </c>
      <c r="G113">
        <v>400334</v>
      </c>
      <c r="H113">
        <v>1453610</v>
      </c>
      <c r="I113">
        <v>0.72</v>
      </c>
      <c r="J113">
        <v>0</v>
      </c>
      <c r="K113">
        <v>351837</v>
      </c>
      <c r="L113">
        <v>892362</v>
      </c>
      <c r="M113">
        <v>5720999</v>
      </c>
      <c r="N113">
        <v>1572244</v>
      </c>
      <c r="O113">
        <v>6191148</v>
      </c>
    </row>
    <row r="114" spans="1:15">
      <c r="A114" t="s">
        <v>87</v>
      </c>
      <c r="B114" t="s">
        <v>86</v>
      </c>
      <c r="C114" t="s">
        <v>28</v>
      </c>
      <c r="D114" t="s">
        <v>6</v>
      </c>
      <c r="E114">
        <v>2020</v>
      </c>
      <c r="F114">
        <v>502457</v>
      </c>
      <c r="G114">
        <v>253897</v>
      </c>
      <c r="H114">
        <v>756354</v>
      </c>
      <c r="I114">
        <v>0.66</v>
      </c>
      <c r="J114">
        <v>27323</v>
      </c>
      <c r="K114">
        <v>356727</v>
      </c>
      <c r="L114">
        <v>910345</v>
      </c>
      <c r="M114">
        <v>5159751</v>
      </c>
      <c r="N114">
        <v>1572244</v>
      </c>
      <c r="O114">
        <v>6191148</v>
      </c>
    </row>
    <row r="115" spans="1:15">
      <c r="A115" t="s">
        <v>87</v>
      </c>
      <c r="B115" t="s">
        <v>86</v>
      </c>
      <c r="C115" t="s">
        <v>28</v>
      </c>
      <c r="D115" t="s">
        <v>6</v>
      </c>
      <c r="E115">
        <v>2019</v>
      </c>
      <c r="F115">
        <v>1086101</v>
      </c>
      <c r="G115">
        <v>230329</v>
      </c>
      <c r="H115">
        <v>1366267</v>
      </c>
      <c r="I115">
        <v>0.79</v>
      </c>
      <c r="J115">
        <v>31320</v>
      </c>
      <c r="K115">
        <v>432857</v>
      </c>
      <c r="L115">
        <v>1041839</v>
      </c>
      <c r="M115">
        <v>5360819</v>
      </c>
      <c r="N115">
        <v>1572244</v>
      </c>
      <c r="O115">
        <v>6191148</v>
      </c>
    </row>
    <row r="116" spans="1:15">
      <c r="A116" t="s">
        <v>89</v>
      </c>
      <c r="B116" t="s">
        <v>88</v>
      </c>
      <c r="C116" t="s">
        <v>90</v>
      </c>
      <c r="D116" t="s">
        <v>6</v>
      </c>
      <c r="E116">
        <v>2022</v>
      </c>
      <c r="F116">
        <v>673090</v>
      </c>
      <c r="G116">
        <v>433777</v>
      </c>
      <c r="H116">
        <v>1106867</v>
      </c>
      <c r="I116">
        <v>0.61</v>
      </c>
      <c r="J116">
        <v>81115</v>
      </c>
      <c r="K116">
        <v>738005</v>
      </c>
      <c r="L116">
        <v>1263695</v>
      </c>
      <c r="M116">
        <v>283127</v>
      </c>
      <c r="N116">
        <v>1288654</v>
      </c>
      <c r="O116">
        <v>419569</v>
      </c>
    </row>
    <row r="117" spans="1:15">
      <c r="A117" t="s">
        <v>89</v>
      </c>
      <c r="B117" t="s">
        <v>88</v>
      </c>
      <c r="C117" t="s">
        <v>90</v>
      </c>
      <c r="D117" t="s">
        <v>6</v>
      </c>
      <c r="E117">
        <v>2021</v>
      </c>
      <c r="F117">
        <v>920177</v>
      </c>
      <c r="G117">
        <v>368466</v>
      </c>
      <c r="H117">
        <v>1288643</v>
      </c>
      <c r="I117">
        <v>0.71</v>
      </c>
      <c r="J117">
        <v>84822</v>
      </c>
      <c r="K117">
        <v>529046</v>
      </c>
      <c r="L117">
        <v>987438</v>
      </c>
      <c r="M117">
        <v>504223</v>
      </c>
      <c r="N117">
        <v>1288654</v>
      </c>
      <c r="O117">
        <v>419569</v>
      </c>
    </row>
    <row r="118" spans="1:15">
      <c r="A118" t="s">
        <v>89</v>
      </c>
      <c r="B118" t="s">
        <v>88</v>
      </c>
      <c r="C118" t="s">
        <v>90</v>
      </c>
      <c r="D118" t="s">
        <v>6</v>
      </c>
      <c r="E118">
        <v>2020</v>
      </c>
      <c r="F118">
        <v>638586</v>
      </c>
      <c r="G118">
        <v>257675</v>
      </c>
      <c r="H118">
        <v>896261</v>
      </c>
      <c r="I118">
        <v>0.71</v>
      </c>
      <c r="J118">
        <v>71981</v>
      </c>
      <c r="K118">
        <v>455003</v>
      </c>
      <c r="L118">
        <v>906015</v>
      </c>
      <c r="M118">
        <v>203018</v>
      </c>
      <c r="N118">
        <v>1288654</v>
      </c>
      <c r="O118">
        <v>419569</v>
      </c>
    </row>
    <row r="119" spans="1:15">
      <c r="A119" t="s">
        <v>89</v>
      </c>
      <c r="B119" t="s">
        <v>88</v>
      </c>
      <c r="C119" t="s">
        <v>90</v>
      </c>
      <c r="D119" t="s">
        <v>6</v>
      </c>
      <c r="E119">
        <v>2019</v>
      </c>
      <c r="F119">
        <v>781772</v>
      </c>
      <c r="G119">
        <v>255412</v>
      </c>
      <c r="H119">
        <v>1037549</v>
      </c>
      <c r="I119">
        <v>0.75</v>
      </c>
      <c r="J119">
        <v>68904</v>
      </c>
      <c r="K119">
        <v>474773</v>
      </c>
      <c r="L119">
        <v>1004118</v>
      </c>
      <c r="M119">
        <v>212772</v>
      </c>
      <c r="N119">
        <v>1288654</v>
      </c>
      <c r="O119">
        <v>419569</v>
      </c>
    </row>
    <row r="120" spans="1:15">
      <c r="A120" t="s">
        <v>92</v>
      </c>
      <c r="B120" t="s">
        <v>91</v>
      </c>
      <c r="C120" t="s">
        <v>93</v>
      </c>
      <c r="D120" t="s">
        <v>6</v>
      </c>
      <c r="E120">
        <v>2022</v>
      </c>
      <c r="F120">
        <v>1009826</v>
      </c>
      <c r="G120">
        <v>0</v>
      </c>
      <c r="H120">
        <v>1009826</v>
      </c>
      <c r="I120">
        <v>1</v>
      </c>
      <c r="J120">
        <v>52195</v>
      </c>
      <c r="K120">
        <v>123136</v>
      </c>
      <c r="L120">
        <v>335264</v>
      </c>
      <c r="M120">
        <v>674563</v>
      </c>
      <c r="N120">
        <v>1009826</v>
      </c>
      <c r="O120">
        <v>688370</v>
      </c>
    </row>
    <row r="121" spans="1:15">
      <c r="A121" t="s">
        <v>95</v>
      </c>
      <c r="B121" t="s">
        <v>94</v>
      </c>
      <c r="C121" t="s">
        <v>68</v>
      </c>
      <c r="D121" t="s">
        <v>6</v>
      </c>
      <c r="E121">
        <v>2021</v>
      </c>
      <c r="F121">
        <v>792765</v>
      </c>
      <c r="G121">
        <v>459</v>
      </c>
      <c r="H121">
        <v>793224</v>
      </c>
      <c r="I121">
        <v>1</v>
      </c>
      <c r="J121">
        <v>65000</v>
      </c>
      <c r="K121">
        <v>281642</v>
      </c>
      <c r="L121">
        <v>683457</v>
      </c>
      <c r="M121">
        <v>332086</v>
      </c>
      <c r="N121">
        <v>834626</v>
      </c>
      <c r="O121">
        <v>1128147</v>
      </c>
    </row>
    <row r="122" spans="1:15">
      <c r="A122" t="s">
        <v>95</v>
      </c>
      <c r="B122" t="s">
        <v>94</v>
      </c>
      <c r="C122" t="s">
        <v>68</v>
      </c>
      <c r="D122" t="s">
        <v>6</v>
      </c>
      <c r="E122">
        <v>2020</v>
      </c>
      <c r="F122">
        <v>1120714</v>
      </c>
      <c r="G122">
        <v>144</v>
      </c>
      <c r="H122">
        <v>1120858</v>
      </c>
      <c r="I122">
        <v>1</v>
      </c>
      <c r="J122">
        <v>60000</v>
      </c>
      <c r="K122">
        <v>379932</v>
      </c>
      <c r="L122">
        <v>787002</v>
      </c>
      <c r="M122">
        <v>1051735</v>
      </c>
      <c r="N122">
        <v>834626</v>
      </c>
      <c r="O122">
        <v>1128147</v>
      </c>
    </row>
    <row r="123" spans="1:15">
      <c r="A123" t="s">
        <v>95</v>
      </c>
      <c r="B123" t="s">
        <v>94</v>
      </c>
      <c r="C123" t="s">
        <v>68</v>
      </c>
      <c r="D123" t="s">
        <v>6</v>
      </c>
      <c r="E123">
        <v>2019</v>
      </c>
      <c r="F123">
        <v>702717</v>
      </c>
      <c r="G123">
        <v>178</v>
      </c>
      <c r="H123">
        <v>702895</v>
      </c>
      <c r="I123">
        <v>1</v>
      </c>
      <c r="J123">
        <v>60000</v>
      </c>
      <c r="K123">
        <v>0</v>
      </c>
      <c r="L123">
        <v>695926</v>
      </c>
      <c r="M123">
        <v>290221</v>
      </c>
      <c r="N123">
        <v>834626</v>
      </c>
      <c r="O123">
        <v>1128147</v>
      </c>
    </row>
    <row r="124" spans="1:15">
      <c r="A124" t="s">
        <v>97</v>
      </c>
      <c r="B124" t="s">
        <v>96</v>
      </c>
      <c r="C124" t="s">
        <v>68</v>
      </c>
      <c r="D124" t="s">
        <v>6</v>
      </c>
      <c r="E124">
        <v>2022</v>
      </c>
      <c r="F124">
        <v>0</v>
      </c>
      <c r="G124">
        <v>0</v>
      </c>
      <c r="H124">
        <v>157647</v>
      </c>
      <c r="I124">
        <v>0</v>
      </c>
      <c r="J124">
        <v>0</v>
      </c>
      <c r="K124">
        <v>0</v>
      </c>
      <c r="L124">
        <v>56678</v>
      </c>
      <c r="M124">
        <v>0</v>
      </c>
      <c r="N124">
        <v>160893</v>
      </c>
      <c r="O124">
        <v>540175</v>
      </c>
    </row>
    <row r="125" spans="1:15">
      <c r="A125" t="s">
        <v>97</v>
      </c>
      <c r="B125" t="s">
        <v>96</v>
      </c>
      <c r="C125" t="s">
        <v>68</v>
      </c>
      <c r="D125" t="s">
        <v>6</v>
      </c>
      <c r="E125">
        <v>2021</v>
      </c>
      <c r="F125">
        <v>243609</v>
      </c>
      <c r="G125">
        <v>0</v>
      </c>
      <c r="H125">
        <v>243609</v>
      </c>
      <c r="I125">
        <v>1</v>
      </c>
      <c r="J125">
        <v>0</v>
      </c>
      <c r="K125">
        <v>0</v>
      </c>
      <c r="L125">
        <v>63258</v>
      </c>
      <c r="M125">
        <v>374705</v>
      </c>
      <c r="N125">
        <v>160893</v>
      </c>
      <c r="O125">
        <v>540175</v>
      </c>
    </row>
    <row r="126" spans="1:15">
      <c r="A126" t="s">
        <v>97</v>
      </c>
      <c r="B126" t="s">
        <v>96</v>
      </c>
      <c r="C126" t="s">
        <v>68</v>
      </c>
      <c r="D126" t="s">
        <v>6</v>
      </c>
      <c r="E126">
        <v>2020</v>
      </c>
      <c r="F126">
        <v>0</v>
      </c>
      <c r="G126">
        <v>0</v>
      </c>
      <c r="H126">
        <v>132993</v>
      </c>
      <c r="I126">
        <v>0</v>
      </c>
      <c r="J126">
        <v>0</v>
      </c>
      <c r="K126">
        <v>0</v>
      </c>
      <c r="L126">
        <v>63602</v>
      </c>
      <c r="M126">
        <v>0</v>
      </c>
      <c r="N126">
        <v>160893</v>
      </c>
      <c r="O126">
        <v>540175</v>
      </c>
    </row>
    <row r="127" spans="1:15">
      <c r="A127" t="s">
        <v>99</v>
      </c>
      <c r="B127" t="s">
        <v>98</v>
      </c>
      <c r="C127" t="s">
        <v>68</v>
      </c>
      <c r="D127" t="s">
        <v>6</v>
      </c>
      <c r="E127">
        <v>2022</v>
      </c>
      <c r="F127">
        <v>0</v>
      </c>
      <c r="G127">
        <v>0</v>
      </c>
      <c r="H127">
        <v>90414</v>
      </c>
      <c r="I127">
        <v>0</v>
      </c>
      <c r="J127">
        <v>0</v>
      </c>
      <c r="K127">
        <v>0</v>
      </c>
      <c r="L127">
        <v>544133</v>
      </c>
      <c r="M127">
        <v>0</v>
      </c>
      <c r="N127">
        <v>132973</v>
      </c>
      <c r="O127">
        <v>111186</v>
      </c>
    </row>
    <row r="128" spans="1:15">
      <c r="A128" t="s">
        <v>99</v>
      </c>
      <c r="B128" t="s">
        <v>98</v>
      </c>
      <c r="C128" t="s">
        <v>68</v>
      </c>
      <c r="D128" t="s">
        <v>6</v>
      </c>
      <c r="E128">
        <v>2021</v>
      </c>
      <c r="F128">
        <v>0</v>
      </c>
      <c r="G128">
        <v>0</v>
      </c>
      <c r="H128">
        <v>1052631</v>
      </c>
      <c r="I128">
        <v>0</v>
      </c>
      <c r="J128">
        <v>0</v>
      </c>
      <c r="K128">
        <v>0</v>
      </c>
      <c r="L128">
        <v>357072</v>
      </c>
      <c r="M128">
        <v>0</v>
      </c>
      <c r="N128">
        <v>132973</v>
      </c>
      <c r="O128">
        <v>111186</v>
      </c>
    </row>
    <row r="129" spans="1:15">
      <c r="A129" t="s">
        <v>99</v>
      </c>
      <c r="B129" t="s">
        <v>98</v>
      </c>
      <c r="C129" t="s">
        <v>68</v>
      </c>
      <c r="D129" t="s">
        <v>6</v>
      </c>
      <c r="E129">
        <v>2020</v>
      </c>
      <c r="F129">
        <v>0</v>
      </c>
      <c r="G129">
        <v>0</v>
      </c>
      <c r="H129">
        <v>180968</v>
      </c>
      <c r="I129">
        <v>0</v>
      </c>
      <c r="J129">
        <v>0</v>
      </c>
      <c r="K129">
        <v>0</v>
      </c>
      <c r="L129">
        <v>126370</v>
      </c>
      <c r="M129">
        <v>0</v>
      </c>
      <c r="N129">
        <v>132973</v>
      </c>
      <c r="O129">
        <v>111186</v>
      </c>
    </row>
    <row r="130" spans="1:15">
      <c r="A130" t="s">
        <v>99</v>
      </c>
      <c r="B130" t="s">
        <v>98</v>
      </c>
      <c r="C130" t="s">
        <v>68</v>
      </c>
      <c r="D130" t="s">
        <v>6</v>
      </c>
      <c r="E130">
        <v>2019</v>
      </c>
      <c r="F130">
        <v>0</v>
      </c>
      <c r="G130">
        <v>0</v>
      </c>
      <c r="H130">
        <v>115019</v>
      </c>
      <c r="I130">
        <v>0</v>
      </c>
      <c r="J130">
        <v>0</v>
      </c>
      <c r="K130">
        <v>0</v>
      </c>
      <c r="L130">
        <v>164778</v>
      </c>
      <c r="M130">
        <v>0</v>
      </c>
      <c r="N130">
        <v>132973</v>
      </c>
      <c r="O130">
        <v>111186</v>
      </c>
    </row>
    <row r="131" spans="1:15">
      <c r="A131" s="14" t="s">
        <v>616</v>
      </c>
      <c r="B131" s="14" t="s">
        <v>618</v>
      </c>
      <c r="C131" s="14" t="s">
        <v>617</v>
      </c>
      <c r="D131" s="14" t="s">
        <v>6</v>
      </c>
      <c r="E131" s="14">
        <v>2023</v>
      </c>
      <c r="F131" s="17">
        <v>112871</v>
      </c>
      <c r="G131" s="17">
        <v>563</v>
      </c>
      <c r="H131" s="17">
        <v>182951</v>
      </c>
      <c r="I131" s="28">
        <v>0.61699999999999999</v>
      </c>
      <c r="J131" s="17">
        <v>48000</v>
      </c>
      <c r="K131" s="17">
        <v>0</v>
      </c>
      <c r="L131" s="17">
        <v>168219</v>
      </c>
      <c r="M131" s="17">
        <v>222410</v>
      </c>
      <c r="N131" s="18">
        <v>183564</v>
      </c>
      <c r="O131" s="18">
        <v>222410</v>
      </c>
    </row>
    <row r="132" spans="1:15">
      <c r="A132" s="14" t="s">
        <v>616</v>
      </c>
      <c r="B132" s="14" t="s">
        <v>618</v>
      </c>
      <c r="C132" s="14" t="s">
        <v>617</v>
      </c>
      <c r="D132" s="14" t="s">
        <v>6</v>
      </c>
      <c r="E132" s="14">
        <v>2022</v>
      </c>
      <c r="F132" s="17">
        <v>119405</v>
      </c>
      <c r="G132">
        <v>87047</v>
      </c>
      <c r="H132">
        <v>206452</v>
      </c>
      <c r="I132" s="28">
        <v>0.57799999999999996</v>
      </c>
      <c r="J132" s="17">
        <v>43191</v>
      </c>
      <c r="K132" s="17">
        <v>0</v>
      </c>
      <c r="L132">
        <v>153081</v>
      </c>
      <c r="M132" s="17">
        <v>207678</v>
      </c>
      <c r="N132" s="18">
        <v>183564</v>
      </c>
      <c r="O132" s="18">
        <v>222410</v>
      </c>
    </row>
    <row r="133" spans="1:15">
      <c r="A133" s="14" t="s">
        <v>616</v>
      </c>
      <c r="B133" s="14" t="s">
        <v>618</v>
      </c>
      <c r="C133" s="14" t="s">
        <v>617</v>
      </c>
      <c r="D133" s="14" t="s">
        <v>6</v>
      </c>
      <c r="E133" s="14">
        <v>2021</v>
      </c>
      <c r="F133" s="17">
        <v>138711</v>
      </c>
      <c r="G133">
        <v>74714</v>
      </c>
      <c r="H133">
        <v>213425</v>
      </c>
      <c r="I133" s="28">
        <v>0.65</v>
      </c>
      <c r="J133" s="17">
        <v>28764</v>
      </c>
      <c r="K133" s="17">
        <v>0</v>
      </c>
      <c r="L133">
        <v>164777</v>
      </c>
      <c r="M133" s="17">
        <v>151781</v>
      </c>
      <c r="N133" s="18">
        <v>183564</v>
      </c>
      <c r="O133" s="18">
        <v>222410</v>
      </c>
    </row>
    <row r="134" spans="1:15">
      <c r="A134" s="14" t="s">
        <v>616</v>
      </c>
      <c r="B134" s="14" t="s">
        <v>618</v>
      </c>
      <c r="C134" s="14" t="s">
        <v>617</v>
      </c>
      <c r="D134" s="14" t="s">
        <v>6</v>
      </c>
      <c r="E134" s="14">
        <v>2020</v>
      </c>
      <c r="F134" s="17">
        <v>92325</v>
      </c>
      <c r="G134">
        <v>0</v>
      </c>
      <c r="H134">
        <v>138790</v>
      </c>
      <c r="I134" s="28">
        <v>0.66500000000000004</v>
      </c>
      <c r="J134" s="17">
        <v>13000</v>
      </c>
      <c r="K134" s="17">
        <v>0</v>
      </c>
      <c r="L134">
        <v>163818</v>
      </c>
      <c r="M134" s="17">
        <v>103132</v>
      </c>
      <c r="N134" s="18">
        <v>183564</v>
      </c>
      <c r="O134" s="18">
        <v>222410</v>
      </c>
    </row>
    <row r="135" spans="1:15">
      <c r="A135" s="14" t="s">
        <v>616</v>
      </c>
      <c r="B135" s="14" t="s">
        <v>618</v>
      </c>
      <c r="C135" s="14" t="s">
        <v>617</v>
      </c>
      <c r="D135" s="14" t="s">
        <v>6</v>
      </c>
      <c r="E135" s="14">
        <v>2019</v>
      </c>
      <c r="F135" s="17">
        <v>55397</v>
      </c>
      <c r="G135">
        <v>0</v>
      </c>
      <c r="H135">
        <v>146136</v>
      </c>
      <c r="I135" s="28">
        <v>0.379</v>
      </c>
      <c r="J135" s="17">
        <v>27700</v>
      </c>
      <c r="K135" s="17">
        <v>0</v>
      </c>
      <c r="L135">
        <v>95416</v>
      </c>
      <c r="M135" s="17">
        <v>112804</v>
      </c>
      <c r="N135" s="18">
        <v>183564</v>
      </c>
      <c r="O135" s="18">
        <v>222410</v>
      </c>
    </row>
    <row r="137" spans="1:15">
      <c r="A137" t="s">
        <v>616</v>
      </c>
    </row>
    <row r="138" spans="1:15">
      <c r="A138" t="s">
        <v>616</v>
      </c>
      <c r="G138" s="27">
        <f>G131/4</f>
        <v>140.75</v>
      </c>
    </row>
    <row r="139" spans="1:15">
      <c r="A139" t="s">
        <v>616</v>
      </c>
    </row>
    <row r="140" spans="1:15">
      <c r="A140" t="s">
        <v>616</v>
      </c>
    </row>
  </sheetData>
  <autoFilter ref="A1:O135" xr:uid="{340C03EB-BC0D-45E5-98C1-2929ED2B07D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15CB-E708-4976-B5DA-A97A8AD6F0DB}">
  <dimension ref="G7:P13"/>
  <sheetViews>
    <sheetView workbookViewId="0">
      <selection activeCell="T17" sqref="T17"/>
    </sheetView>
  </sheetViews>
  <sheetFormatPr defaultRowHeight="15"/>
  <cols>
    <col min="7" max="7" width="14.140625" bestFit="1" customWidth="1"/>
  </cols>
  <sheetData>
    <row r="7" spans="7:16">
      <c r="O7" t="s">
        <v>623</v>
      </c>
    </row>
    <row r="8" spans="7:16">
      <c r="H8" s="24" t="s">
        <v>621</v>
      </c>
      <c r="I8" s="24"/>
      <c r="J8" s="24"/>
      <c r="K8" s="24" t="s">
        <v>622</v>
      </c>
      <c r="L8" s="24"/>
      <c r="M8" s="24"/>
      <c r="O8" t="s">
        <v>624</v>
      </c>
    </row>
    <row r="9" spans="7:16">
      <c r="G9" t="s">
        <v>117</v>
      </c>
      <c r="O9" t="s">
        <v>625</v>
      </c>
    </row>
    <row r="10" spans="7:16">
      <c r="G10" t="s">
        <v>619</v>
      </c>
    </row>
    <row r="11" spans="7:16">
      <c r="G11" t="s">
        <v>113</v>
      </c>
      <c r="O11" t="s">
        <v>626</v>
      </c>
    </row>
    <row r="12" spans="7:16">
      <c r="G12" t="s">
        <v>620</v>
      </c>
      <c r="O12" s="19"/>
      <c r="P12" t="s">
        <v>621</v>
      </c>
    </row>
    <row r="13" spans="7:16">
      <c r="O13" s="20"/>
      <c r="P13" t="s">
        <v>627</v>
      </c>
    </row>
  </sheetData>
  <mergeCells count="2">
    <mergeCell ref="H8:J8"/>
    <mergeCell ref="K8:M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4C0A-7837-494C-BF3A-A5BDE078D549}">
  <dimension ref="A1:B30"/>
  <sheetViews>
    <sheetView topLeftCell="A16" workbookViewId="0">
      <selection activeCell="A18" sqref="A18:B30"/>
    </sheetView>
  </sheetViews>
  <sheetFormatPr defaultRowHeight="46.5" customHeight="1"/>
  <cols>
    <col min="1" max="1" width="14" bestFit="1" customWidth="1"/>
    <col min="2" max="2" width="35.28515625" bestFit="1" customWidth="1"/>
  </cols>
  <sheetData>
    <row r="1" spans="1:2" ht="46.5" customHeight="1">
      <c r="A1" s="13" t="s">
        <v>249</v>
      </c>
      <c r="B1" s="13" t="s">
        <v>126</v>
      </c>
    </row>
    <row r="2" spans="1:2" ht="46.5" customHeight="1">
      <c r="A2" s="15" t="s">
        <v>250</v>
      </c>
      <c r="B2" s="14" t="s">
        <v>251</v>
      </c>
    </row>
    <row r="3" spans="1:2" ht="46.5" customHeight="1">
      <c r="A3" s="15" t="s">
        <v>252</v>
      </c>
      <c r="B3" s="14" t="s">
        <v>253</v>
      </c>
    </row>
    <row r="4" spans="1:2" ht="46.5" customHeight="1">
      <c r="A4" s="15" t="s">
        <v>254</v>
      </c>
      <c r="B4" s="14" t="s">
        <v>255</v>
      </c>
    </row>
    <row r="5" spans="1:2" ht="46.5" customHeight="1">
      <c r="A5" s="15" t="s">
        <v>256</v>
      </c>
      <c r="B5" s="14" t="s">
        <v>257</v>
      </c>
    </row>
    <row r="6" spans="1:2" ht="46.5" customHeight="1">
      <c r="A6" s="15" t="s">
        <v>258</v>
      </c>
      <c r="B6" s="14" t="s">
        <v>259</v>
      </c>
    </row>
    <row r="7" spans="1:2" ht="46.5" customHeight="1">
      <c r="A7" s="15" t="s">
        <v>260</v>
      </c>
      <c r="B7" s="14" t="s">
        <v>261</v>
      </c>
    </row>
    <row r="8" spans="1:2" ht="46.5" customHeight="1">
      <c r="A8" s="15" t="s">
        <v>262</v>
      </c>
      <c r="B8" s="14" t="s">
        <v>263</v>
      </c>
    </row>
    <row r="9" spans="1:2" ht="46.5" customHeight="1">
      <c r="A9" s="15" t="s">
        <v>115</v>
      </c>
      <c r="B9" s="14" t="s">
        <v>264</v>
      </c>
    </row>
    <row r="10" spans="1:2" ht="46.5" customHeight="1">
      <c r="A10" s="15" t="s">
        <v>265</v>
      </c>
      <c r="B10" s="14" t="s">
        <v>266</v>
      </c>
    </row>
    <row r="11" spans="1:2" ht="46.5" customHeight="1">
      <c r="A11" s="15" t="s">
        <v>267</v>
      </c>
      <c r="B11" s="14" t="s">
        <v>268</v>
      </c>
    </row>
    <row r="12" spans="1:2" ht="46.5" customHeight="1">
      <c r="A12" s="15" t="s">
        <v>269</v>
      </c>
      <c r="B12" s="14" t="s">
        <v>270</v>
      </c>
    </row>
    <row r="13" spans="1:2" ht="46.5" customHeight="1">
      <c r="A13" s="15" t="s">
        <v>105</v>
      </c>
      <c r="B13" s="14" t="s">
        <v>271</v>
      </c>
    </row>
    <row r="14" spans="1:2" ht="46.5" customHeight="1">
      <c r="A14" s="15" t="s">
        <v>272</v>
      </c>
      <c r="B14" s="14" t="s">
        <v>273</v>
      </c>
    </row>
    <row r="15" spans="1:2" ht="46.5" customHeight="1">
      <c r="A15" s="15" t="s">
        <v>274</v>
      </c>
      <c r="B15" s="14" t="s">
        <v>275</v>
      </c>
    </row>
    <row r="16" spans="1:2" ht="46.5" customHeight="1">
      <c r="A16" s="15" t="s">
        <v>276</v>
      </c>
      <c r="B16" s="14" t="s">
        <v>277</v>
      </c>
    </row>
    <row r="18" spans="1:2" ht="46.5" customHeight="1">
      <c r="A18" t="s">
        <v>278</v>
      </c>
    </row>
    <row r="20" spans="1:2" ht="46.5" customHeight="1">
      <c r="A20" t="s">
        <v>279</v>
      </c>
      <c r="B20" t="s">
        <v>126</v>
      </c>
    </row>
    <row r="21" spans="1:2" ht="46.5" customHeight="1">
      <c r="A21" t="s">
        <v>280</v>
      </c>
      <c r="B21" t="s">
        <v>281</v>
      </c>
    </row>
    <row r="22" spans="1:2" ht="46.5" customHeight="1">
      <c r="A22" t="s">
        <v>282</v>
      </c>
      <c r="B22" t="s">
        <v>283</v>
      </c>
    </row>
    <row r="23" spans="1:2" ht="46.5" customHeight="1">
      <c r="A23" t="s">
        <v>284</v>
      </c>
      <c r="B23" t="s">
        <v>285</v>
      </c>
    </row>
    <row r="24" spans="1:2" ht="46.5" customHeight="1">
      <c r="A24" t="s">
        <v>286</v>
      </c>
      <c r="B24" t="s">
        <v>287</v>
      </c>
    </row>
    <row r="25" spans="1:2" ht="46.5" customHeight="1">
      <c r="A25" t="s">
        <v>288</v>
      </c>
      <c r="B25" t="s">
        <v>289</v>
      </c>
    </row>
    <row r="26" spans="1:2" ht="46.5" customHeight="1">
      <c r="A26" t="s">
        <v>290</v>
      </c>
      <c r="B26" t="s">
        <v>291</v>
      </c>
    </row>
    <row r="27" spans="1:2" ht="46.5" customHeight="1">
      <c r="A27" t="s">
        <v>292</v>
      </c>
      <c r="B27" t="s">
        <v>293</v>
      </c>
    </row>
    <row r="28" spans="1:2" ht="46.5" customHeight="1">
      <c r="A28" t="s">
        <v>294</v>
      </c>
      <c r="B28" t="s">
        <v>295</v>
      </c>
    </row>
    <row r="29" spans="1:2" ht="46.5" customHeight="1">
      <c r="A29" t="s">
        <v>296</v>
      </c>
      <c r="B29" t="s">
        <v>297</v>
      </c>
    </row>
    <row r="30" spans="1:2" ht="46.5" customHeight="1">
      <c r="A30" t="s">
        <v>298</v>
      </c>
      <c r="B30" t="s">
        <v>299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429A-2CBC-45CE-A5D4-8BF5B02A3855}">
  <dimension ref="A1:B12"/>
  <sheetViews>
    <sheetView workbookViewId="0">
      <selection activeCell="A2" sqref="A2"/>
    </sheetView>
  </sheetViews>
  <sheetFormatPr defaultRowHeight="21" customHeight="1"/>
  <cols>
    <col min="1" max="1" width="39.85546875" bestFit="1" customWidth="1"/>
    <col min="2" max="2" width="88.28515625" bestFit="1" customWidth="1"/>
  </cols>
  <sheetData>
    <row r="1" spans="1:2" ht="21" customHeight="1">
      <c r="A1" s="16" t="s">
        <v>278</v>
      </c>
    </row>
    <row r="2" spans="1:2" ht="21" customHeight="1">
      <c r="A2" s="13" t="s">
        <v>279</v>
      </c>
      <c r="B2" s="13" t="s">
        <v>126</v>
      </c>
    </row>
    <row r="3" spans="1:2" ht="21" customHeight="1">
      <c r="A3" s="15" t="s">
        <v>280</v>
      </c>
      <c r="B3" s="14" t="s">
        <v>281</v>
      </c>
    </row>
    <row r="4" spans="1:2" ht="21" customHeight="1">
      <c r="A4" s="15" t="s">
        <v>282</v>
      </c>
      <c r="B4" s="14" t="s">
        <v>283</v>
      </c>
    </row>
    <row r="5" spans="1:2" ht="21" customHeight="1">
      <c r="A5" s="15" t="s">
        <v>284</v>
      </c>
      <c r="B5" s="14" t="s">
        <v>285</v>
      </c>
    </row>
    <row r="6" spans="1:2" ht="21" customHeight="1">
      <c r="A6" s="15" t="s">
        <v>286</v>
      </c>
      <c r="B6" s="14" t="s">
        <v>287</v>
      </c>
    </row>
    <row r="7" spans="1:2" ht="21" customHeight="1">
      <c r="A7" s="15" t="s">
        <v>288</v>
      </c>
      <c r="B7" s="14" t="s">
        <v>289</v>
      </c>
    </row>
    <row r="8" spans="1:2" ht="21" customHeight="1">
      <c r="A8" s="15" t="s">
        <v>290</v>
      </c>
      <c r="B8" s="14" t="s">
        <v>291</v>
      </c>
    </row>
    <row r="9" spans="1:2" ht="21" customHeight="1">
      <c r="A9" s="15" t="s">
        <v>292</v>
      </c>
      <c r="B9" s="14" t="s">
        <v>293</v>
      </c>
    </row>
    <row r="10" spans="1:2" ht="21" customHeight="1">
      <c r="A10" s="15" t="s">
        <v>294</v>
      </c>
      <c r="B10" s="14" t="s">
        <v>295</v>
      </c>
    </row>
    <row r="11" spans="1:2" ht="21" customHeight="1">
      <c r="A11" s="15" t="s">
        <v>296</v>
      </c>
      <c r="B11" s="14" t="s">
        <v>297</v>
      </c>
    </row>
    <row r="12" spans="1:2" ht="21" customHeight="1">
      <c r="A12" s="15" t="s">
        <v>298</v>
      </c>
      <c r="B12" s="14" t="s">
        <v>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65F8-9262-455A-8F12-171C9F6D055D}">
  <dimension ref="A3:A42"/>
  <sheetViews>
    <sheetView workbookViewId="0">
      <selection activeCell="A3" sqref="A3"/>
    </sheetView>
  </sheetViews>
  <sheetFormatPr defaultRowHeight="15"/>
  <cols>
    <col min="1" max="1" width="56.140625" bestFit="1" customWidth="1"/>
    <col min="2" max="2" width="16.85546875" bestFit="1" customWidth="1"/>
    <col min="3" max="3" width="21.42578125" bestFit="1" customWidth="1"/>
  </cols>
  <sheetData>
    <row r="3" spans="1:1">
      <c r="A3" s="21" t="s">
        <v>628</v>
      </c>
    </row>
    <row r="4" spans="1:1">
      <c r="A4" s="22" t="s">
        <v>497</v>
      </c>
    </row>
    <row r="5" spans="1:1">
      <c r="A5" s="22" t="s">
        <v>67</v>
      </c>
    </row>
    <row r="6" spans="1:1">
      <c r="A6" s="22" t="s">
        <v>458</v>
      </c>
    </row>
    <row r="7" spans="1:1">
      <c r="A7" s="22" t="s">
        <v>86</v>
      </c>
    </row>
    <row r="8" spans="1:1">
      <c r="A8" s="22" t="s">
        <v>41</v>
      </c>
    </row>
    <row r="9" spans="1:1">
      <c r="A9" s="22" t="s">
        <v>595</v>
      </c>
    </row>
    <row r="10" spans="1:1">
      <c r="A10" s="22" t="s">
        <v>402</v>
      </c>
    </row>
    <row r="11" spans="1:1">
      <c r="A11" s="22" t="s">
        <v>585</v>
      </c>
    </row>
    <row r="12" spans="1:1">
      <c r="A12" s="22" t="s">
        <v>518</v>
      </c>
    </row>
    <row r="13" spans="1:1">
      <c r="A13" s="22" t="s">
        <v>24</v>
      </c>
    </row>
    <row r="14" spans="1:1">
      <c r="A14" s="22" t="s">
        <v>510</v>
      </c>
    </row>
    <row r="15" spans="1:1">
      <c r="A15" s="22" t="s">
        <v>10</v>
      </c>
    </row>
    <row r="16" spans="1:1">
      <c r="A16" s="22" t="s">
        <v>540</v>
      </c>
    </row>
    <row r="17" spans="1:1">
      <c r="A17" s="22" t="s">
        <v>422</v>
      </c>
    </row>
    <row r="18" spans="1:1">
      <c r="A18" s="22" t="s">
        <v>429</v>
      </c>
    </row>
    <row r="19" spans="1:1">
      <c r="A19" s="22" t="s">
        <v>426</v>
      </c>
    </row>
    <row r="20" spans="1:1">
      <c r="A20" s="22" t="s">
        <v>77</v>
      </c>
    </row>
    <row r="21" spans="1:1">
      <c r="A21" s="22" t="s">
        <v>12</v>
      </c>
    </row>
    <row r="22" spans="1:1">
      <c r="A22" s="22" t="s">
        <v>374</v>
      </c>
    </row>
    <row r="23" spans="1:1">
      <c r="A23" s="22" t="s">
        <v>544</v>
      </c>
    </row>
    <row r="24" spans="1:1">
      <c r="A24" s="22" t="s">
        <v>19</v>
      </c>
    </row>
    <row r="25" spans="1:1">
      <c r="A25" s="22" t="s">
        <v>447</v>
      </c>
    </row>
    <row r="26" spans="1:1">
      <c r="A26" s="22" t="s">
        <v>14</v>
      </c>
    </row>
    <row r="27" spans="1:1">
      <c r="A27" s="22" t="s">
        <v>441</v>
      </c>
    </row>
    <row r="28" spans="1:1">
      <c r="A28" s="22" t="s">
        <v>316</v>
      </c>
    </row>
    <row r="29" spans="1:1">
      <c r="A29" s="22" t="s">
        <v>569</v>
      </c>
    </row>
    <row r="30" spans="1:1">
      <c r="A30" s="22" t="s">
        <v>478</v>
      </c>
    </row>
    <row r="31" spans="1:1">
      <c r="A31" s="22" t="s">
        <v>91</v>
      </c>
    </row>
    <row r="32" spans="1:1">
      <c r="A32" s="22" t="s">
        <v>21</v>
      </c>
    </row>
    <row r="33" spans="1:1">
      <c r="A33" s="22" t="s">
        <v>484</v>
      </c>
    </row>
    <row r="34" spans="1:1">
      <c r="A34" s="22" t="s">
        <v>47</v>
      </c>
    </row>
    <row r="35" spans="1:1">
      <c r="A35" s="22" t="s">
        <v>464</v>
      </c>
    </row>
    <row r="36" spans="1:1">
      <c r="A36" s="22" t="s">
        <v>393</v>
      </c>
    </row>
    <row r="37" spans="1:1">
      <c r="A37" s="22" t="s">
        <v>535</v>
      </c>
    </row>
    <row r="38" spans="1:1">
      <c r="A38" s="22" t="s">
        <v>378</v>
      </c>
    </row>
    <row r="39" spans="1:1">
      <c r="A39" s="22" t="s">
        <v>98</v>
      </c>
    </row>
    <row r="40" spans="1:1">
      <c r="A40" s="22" t="s">
        <v>5</v>
      </c>
    </row>
    <row r="41" spans="1:1">
      <c r="A41" s="22" t="s">
        <v>387</v>
      </c>
    </row>
    <row r="42" spans="1:1">
      <c r="A42" s="22" t="s">
        <v>629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5FAD-9D38-4BFD-A785-75DDD7F35FBA}">
  <sheetPr>
    <tabColor theme="9" tint="0.59999389629810485"/>
  </sheetPr>
  <dimension ref="A1:I596"/>
  <sheetViews>
    <sheetView topLeftCell="A561" workbookViewId="0">
      <selection activeCell="D8" sqref="D8"/>
    </sheetView>
  </sheetViews>
  <sheetFormatPr defaultRowHeight="15"/>
  <cols>
    <col min="1" max="1" width="10.7109375" bestFit="1" customWidth="1"/>
    <col min="2" max="2" width="56.140625" bestFit="1" customWidth="1"/>
    <col min="3" max="3" width="24.85546875" bestFit="1" customWidth="1"/>
    <col min="4" max="4" width="33.28515625" bestFit="1" customWidth="1"/>
    <col min="5" max="5" width="16.28515625" bestFit="1" customWidth="1"/>
    <col min="6" max="6" width="9.28515625" bestFit="1" customWidth="1"/>
    <col min="7" max="7" width="8.28515625" bestFit="1" customWidth="1"/>
    <col min="8" max="8" width="7.28515625" bestFit="1" customWidth="1"/>
  </cols>
  <sheetData>
    <row r="1" spans="1:9">
      <c r="A1" t="s">
        <v>16</v>
      </c>
      <c r="B1" t="s">
        <v>0</v>
      </c>
      <c r="C1" t="s">
        <v>300</v>
      </c>
      <c r="D1" t="s">
        <v>301</v>
      </c>
      <c r="E1" t="s">
        <v>302</v>
      </c>
      <c r="F1" t="s">
        <v>303</v>
      </c>
      <c r="G1" t="s">
        <v>304</v>
      </c>
      <c r="H1" t="s">
        <v>110</v>
      </c>
    </row>
    <row r="2" spans="1:9">
      <c r="A2" t="s">
        <v>101</v>
      </c>
      <c r="B2" t="s">
        <v>5</v>
      </c>
      <c r="C2" t="s">
        <v>305</v>
      </c>
      <c r="D2" t="s">
        <v>306</v>
      </c>
      <c r="E2" s="6">
        <v>91698</v>
      </c>
      <c r="F2" s="6">
        <v>0</v>
      </c>
      <c r="G2" s="6">
        <v>0</v>
      </c>
      <c r="H2">
        <v>2023</v>
      </c>
      <c r="I2" t="e" vm="1">
        <f>_xleta.IF</f>
        <v>#VALUE!</v>
      </c>
    </row>
    <row r="3" spans="1:9">
      <c r="A3" t="s">
        <v>101</v>
      </c>
      <c r="B3" t="s">
        <v>5</v>
      </c>
      <c r="C3" t="s">
        <v>307</v>
      </c>
      <c r="D3" t="s">
        <v>308</v>
      </c>
      <c r="E3" s="6">
        <v>0</v>
      </c>
      <c r="F3" s="6">
        <v>0</v>
      </c>
      <c r="G3" s="6">
        <v>0</v>
      </c>
      <c r="H3">
        <v>2023</v>
      </c>
    </row>
    <row r="4" spans="1:9">
      <c r="A4" t="s">
        <v>101</v>
      </c>
      <c r="B4" t="s">
        <v>5</v>
      </c>
      <c r="C4" t="s">
        <v>309</v>
      </c>
      <c r="D4" t="s">
        <v>310</v>
      </c>
      <c r="E4" s="6">
        <v>0</v>
      </c>
      <c r="F4" s="6">
        <v>0</v>
      </c>
      <c r="G4" s="6">
        <v>0</v>
      </c>
      <c r="H4">
        <v>2023</v>
      </c>
    </row>
    <row r="5" spans="1:9">
      <c r="A5" t="s">
        <v>101</v>
      </c>
      <c r="B5" t="s">
        <v>5</v>
      </c>
      <c r="C5" t="s">
        <v>311</v>
      </c>
      <c r="D5" t="s">
        <v>312</v>
      </c>
      <c r="E5" s="6">
        <v>0</v>
      </c>
      <c r="F5" s="6">
        <v>0</v>
      </c>
      <c r="G5" s="6">
        <v>0</v>
      </c>
      <c r="H5">
        <v>2023</v>
      </c>
    </row>
    <row r="6" spans="1:9">
      <c r="A6" t="s">
        <v>101</v>
      </c>
      <c r="B6" t="s">
        <v>5</v>
      </c>
      <c r="C6" t="s">
        <v>313</v>
      </c>
      <c r="D6" t="s">
        <v>308</v>
      </c>
      <c r="E6" s="6">
        <v>0</v>
      </c>
      <c r="F6" s="6">
        <v>0</v>
      </c>
      <c r="G6" s="6">
        <v>0</v>
      </c>
      <c r="H6">
        <v>2023</v>
      </c>
    </row>
    <row r="7" spans="1:9">
      <c r="A7" t="s">
        <v>101</v>
      </c>
      <c r="B7" t="s">
        <v>5</v>
      </c>
      <c r="C7" t="s">
        <v>314</v>
      </c>
      <c r="D7" t="s">
        <v>315</v>
      </c>
      <c r="E7" s="6">
        <v>0</v>
      </c>
      <c r="F7" s="6">
        <v>0</v>
      </c>
      <c r="G7" s="6">
        <v>0</v>
      </c>
      <c r="H7">
        <v>2023</v>
      </c>
    </row>
    <row r="8" spans="1:9">
      <c r="A8" t="s">
        <v>101</v>
      </c>
      <c r="B8" t="s">
        <v>5</v>
      </c>
      <c r="C8" t="s">
        <v>305</v>
      </c>
      <c r="D8" t="s">
        <v>306</v>
      </c>
      <c r="E8" s="6">
        <v>85000</v>
      </c>
      <c r="F8" s="6">
        <v>0</v>
      </c>
      <c r="G8" s="6">
        <v>0</v>
      </c>
      <c r="H8">
        <v>2022</v>
      </c>
    </row>
    <row r="9" spans="1:9">
      <c r="A9" t="s">
        <v>101</v>
      </c>
      <c r="B9" t="s">
        <v>5</v>
      </c>
      <c r="C9" t="s">
        <v>307</v>
      </c>
      <c r="D9" t="s">
        <v>308</v>
      </c>
      <c r="E9" s="6">
        <v>0</v>
      </c>
      <c r="F9" s="6">
        <v>0</v>
      </c>
      <c r="G9" s="6">
        <v>0</v>
      </c>
      <c r="H9">
        <v>2022</v>
      </c>
    </row>
    <row r="10" spans="1:9">
      <c r="A10" t="s">
        <v>101</v>
      </c>
      <c r="B10" t="s">
        <v>5</v>
      </c>
      <c r="C10" t="s">
        <v>309</v>
      </c>
      <c r="D10" t="s">
        <v>310</v>
      </c>
      <c r="E10" s="6">
        <v>0</v>
      </c>
      <c r="F10" s="6">
        <v>0</v>
      </c>
      <c r="G10" s="6">
        <v>0</v>
      </c>
      <c r="H10">
        <v>2022</v>
      </c>
    </row>
    <row r="11" spans="1:9">
      <c r="A11" t="s">
        <v>101</v>
      </c>
      <c r="B11" t="s">
        <v>5</v>
      </c>
      <c r="C11" t="s">
        <v>311</v>
      </c>
      <c r="D11" t="s">
        <v>312</v>
      </c>
      <c r="E11" s="6">
        <v>0</v>
      </c>
      <c r="F11" s="6">
        <v>0</v>
      </c>
      <c r="G11" s="6">
        <v>0</v>
      </c>
      <c r="H11">
        <v>2022</v>
      </c>
    </row>
    <row r="12" spans="1:9">
      <c r="A12" t="s">
        <v>101</v>
      </c>
      <c r="B12" t="s">
        <v>5</v>
      </c>
      <c r="C12" t="s">
        <v>313</v>
      </c>
      <c r="D12" t="s">
        <v>308</v>
      </c>
      <c r="E12" s="6">
        <v>0</v>
      </c>
      <c r="F12" s="6">
        <v>0</v>
      </c>
      <c r="G12" s="6">
        <v>0</v>
      </c>
      <c r="H12">
        <v>2022</v>
      </c>
    </row>
    <row r="13" spans="1:9">
      <c r="A13" t="s">
        <v>101</v>
      </c>
      <c r="B13" t="s">
        <v>5</v>
      </c>
      <c r="C13" t="s">
        <v>314</v>
      </c>
      <c r="D13" t="s">
        <v>315</v>
      </c>
      <c r="E13" s="6">
        <v>0</v>
      </c>
      <c r="F13" s="6">
        <v>0</v>
      </c>
      <c r="G13" s="6">
        <v>0</v>
      </c>
      <c r="H13">
        <v>2022</v>
      </c>
    </row>
    <row r="14" spans="1:9">
      <c r="A14" t="s">
        <v>101</v>
      </c>
      <c r="B14" t="s">
        <v>5</v>
      </c>
      <c r="C14" t="s">
        <v>305</v>
      </c>
      <c r="D14" t="s">
        <v>306</v>
      </c>
      <c r="E14" s="6">
        <v>80000</v>
      </c>
      <c r="F14" s="6">
        <v>0</v>
      </c>
      <c r="G14" s="6">
        <v>0</v>
      </c>
      <c r="H14">
        <v>2021</v>
      </c>
    </row>
    <row r="15" spans="1:9">
      <c r="A15" t="s">
        <v>101</v>
      </c>
      <c r="B15" t="s">
        <v>5</v>
      </c>
      <c r="C15" t="s">
        <v>307</v>
      </c>
      <c r="D15" t="s">
        <v>308</v>
      </c>
      <c r="E15" s="6">
        <v>0</v>
      </c>
      <c r="F15" s="6">
        <v>0</v>
      </c>
      <c r="G15" s="6">
        <v>0</v>
      </c>
      <c r="H15">
        <v>2021</v>
      </c>
    </row>
    <row r="16" spans="1:9">
      <c r="A16" t="s">
        <v>101</v>
      </c>
      <c r="B16" t="s">
        <v>5</v>
      </c>
      <c r="C16" t="s">
        <v>309</v>
      </c>
      <c r="D16" t="s">
        <v>310</v>
      </c>
      <c r="E16" s="6">
        <v>0</v>
      </c>
      <c r="F16" s="6">
        <v>0</v>
      </c>
      <c r="G16" s="6">
        <v>0</v>
      </c>
      <c r="H16">
        <v>2021</v>
      </c>
    </row>
    <row r="17" spans="1:8">
      <c r="A17" t="s">
        <v>101</v>
      </c>
      <c r="B17" t="s">
        <v>5</v>
      </c>
      <c r="C17" t="s">
        <v>311</v>
      </c>
      <c r="D17" t="s">
        <v>312</v>
      </c>
      <c r="E17" s="6">
        <v>0</v>
      </c>
      <c r="F17" s="6">
        <v>0</v>
      </c>
      <c r="G17" s="6">
        <v>0</v>
      </c>
      <c r="H17">
        <v>2021</v>
      </c>
    </row>
    <row r="18" spans="1:8">
      <c r="A18" t="s">
        <v>101</v>
      </c>
      <c r="B18" t="s">
        <v>5</v>
      </c>
      <c r="C18" t="s">
        <v>313</v>
      </c>
      <c r="D18" t="s">
        <v>308</v>
      </c>
      <c r="E18" s="6">
        <v>0</v>
      </c>
      <c r="F18" s="6">
        <v>0</v>
      </c>
      <c r="G18" s="6">
        <v>0</v>
      </c>
      <c r="H18">
        <v>2021</v>
      </c>
    </row>
    <row r="19" spans="1:8">
      <c r="A19" t="s">
        <v>101</v>
      </c>
      <c r="B19" t="s">
        <v>5</v>
      </c>
      <c r="C19" t="s">
        <v>314</v>
      </c>
      <c r="D19" t="s">
        <v>315</v>
      </c>
      <c r="E19" s="6">
        <v>0</v>
      </c>
      <c r="F19" s="6">
        <v>0</v>
      </c>
      <c r="G19" s="6">
        <v>0</v>
      </c>
      <c r="H19">
        <v>2021</v>
      </c>
    </row>
    <row r="20" spans="1:8">
      <c r="A20" t="s">
        <v>101</v>
      </c>
      <c r="B20" t="s">
        <v>5</v>
      </c>
      <c r="C20" t="s">
        <v>305</v>
      </c>
      <c r="D20" t="s">
        <v>306</v>
      </c>
      <c r="E20" s="6">
        <v>75000</v>
      </c>
      <c r="F20" s="6">
        <v>0</v>
      </c>
      <c r="G20" s="6">
        <v>0</v>
      </c>
      <c r="H20">
        <v>2020</v>
      </c>
    </row>
    <row r="21" spans="1:8">
      <c r="A21" t="s">
        <v>101</v>
      </c>
      <c r="B21" t="s">
        <v>5</v>
      </c>
      <c r="C21" t="s">
        <v>307</v>
      </c>
      <c r="D21" t="s">
        <v>308</v>
      </c>
      <c r="E21" s="6">
        <v>0</v>
      </c>
      <c r="F21" s="6">
        <v>0</v>
      </c>
      <c r="G21" s="6">
        <v>0</v>
      </c>
      <c r="H21">
        <v>2020</v>
      </c>
    </row>
    <row r="22" spans="1:8">
      <c r="A22" t="s">
        <v>101</v>
      </c>
      <c r="B22" t="s">
        <v>5</v>
      </c>
      <c r="C22" t="s">
        <v>309</v>
      </c>
      <c r="D22" t="s">
        <v>310</v>
      </c>
      <c r="E22" s="6">
        <v>0</v>
      </c>
      <c r="F22" s="6">
        <v>0</v>
      </c>
      <c r="G22" s="6">
        <v>0</v>
      </c>
      <c r="H22">
        <v>2020</v>
      </c>
    </row>
    <row r="23" spans="1:8">
      <c r="A23" t="s">
        <v>101</v>
      </c>
      <c r="B23" t="s">
        <v>5</v>
      </c>
      <c r="C23" t="s">
        <v>311</v>
      </c>
      <c r="D23" t="s">
        <v>312</v>
      </c>
      <c r="E23" s="6">
        <v>0</v>
      </c>
      <c r="F23" s="6">
        <v>0</v>
      </c>
      <c r="G23" s="6">
        <v>0</v>
      </c>
      <c r="H23">
        <v>2020</v>
      </c>
    </row>
    <row r="24" spans="1:8">
      <c r="A24" t="s">
        <v>101</v>
      </c>
      <c r="B24" t="s">
        <v>5</v>
      </c>
      <c r="C24" t="s">
        <v>313</v>
      </c>
      <c r="D24" t="s">
        <v>308</v>
      </c>
      <c r="E24" s="6">
        <v>0</v>
      </c>
      <c r="F24" s="6">
        <v>0</v>
      </c>
      <c r="G24" s="6">
        <v>0</v>
      </c>
      <c r="H24">
        <v>2020</v>
      </c>
    </row>
    <row r="25" spans="1:8">
      <c r="A25" t="s">
        <v>101</v>
      </c>
      <c r="B25" t="s">
        <v>5</v>
      </c>
      <c r="C25" t="s">
        <v>314</v>
      </c>
      <c r="D25" t="s">
        <v>315</v>
      </c>
      <c r="E25" s="6">
        <v>0</v>
      </c>
      <c r="F25" s="6">
        <v>0</v>
      </c>
      <c r="G25" s="6">
        <v>0</v>
      </c>
      <c r="H25">
        <v>2020</v>
      </c>
    </row>
    <row r="26" spans="1:8">
      <c r="A26" t="s">
        <v>101</v>
      </c>
      <c r="B26" t="s">
        <v>5</v>
      </c>
      <c r="C26" t="s">
        <v>305</v>
      </c>
      <c r="D26" t="s">
        <v>306</v>
      </c>
      <c r="E26" s="6">
        <v>70000</v>
      </c>
      <c r="F26" s="6">
        <v>0</v>
      </c>
      <c r="G26" s="6">
        <v>0</v>
      </c>
      <c r="H26">
        <v>2019</v>
      </c>
    </row>
    <row r="27" spans="1:8">
      <c r="A27" t="s">
        <v>101</v>
      </c>
      <c r="B27" t="s">
        <v>5</v>
      </c>
      <c r="C27" t="s">
        <v>307</v>
      </c>
      <c r="D27" t="s">
        <v>308</v>
      </c>
      <c r="E27" s="6">
        <v>0</v>
      </c>
      <c r="F27" s="6">
        <v>0</v>
      </c>
      <c r="G27" s="6">
        <v>0</v>
      </c>
      <c r="H27">
        <v>2019</v>
      </c>
    </row>
    <row r="28" spans="1:8">
      <c r="A28" t="s">
        <v>101</v>
      </c>
      <c r="B28" t="s">
        <v>5</v>
      </c>
      <c r="C28" t="s">
        <v>309</v>
      </c>
      <c r="D28" t="s">
        <v>310</v>
      </c>
      <c r="E28" s="6">
        <v>0</v>
      </c>
      <c r="F28" s="6">
        <v>0</v>
      </c>
      <c r="G28" s="6">
        <v>0</v>
      </c>
      <c r="H28">
        <v>2019</v>
      </c>
    </row>
    <row r="29" spans="1:8">
      <c r="A29" t="s">
        <v>101</v>
      </c>
      <c r="B29" t="s">
        <v>5</v>
      </c>
      <c r="C29" t="s">
        <v>311</v>
      </c>
      <c r="D29" t="s">
        <v>312</v>
      </c>
      <c r="E29" s="6">
        <v>0</v>
      </c>
      <c r="F29" s="6">
        <v>0</v>
      </c>
      <c r="G29" s="6">
        <v>0</v>
      </c>
      <c r="H29">
        <v>2019</v>
      </c>
    </row>
    <row r="30" spans="1:8">
      <c r="A30" t="s">
        <v>101</v>
      </c>
      <c r="B30" t="s">
        <v>5</v>
      </c>
      <c r="C30" t="s">
        <v>313</v>
      </c>
      <c r="D30" t="s">
        <v>308</v>
      </c>
      <c r="E30" s="6">
        <v>0</v>
      </c>
      <c r="F30" s="6">
        <v>0</v>
      </c>
      <c r="G30" s="6">
        <v>0</v>
      </c>
      <c r="H30">
        <v>2019</v>
      </c>
    </row>
    <row r="31" spans="1:8">
      <c r="A31" t="s">
        <v>101</v>
      </c>
      <c r="B31" t="s">
        <v>5</v>
      </c>
      <c r="C31" t="s">
        <v>314</v>
      </c>
      <c r="D31" t="s">
        <v>315</v>
      </c>
      <c r="E31" s="6">
        <v>0</v>
      </c>
      <c r="F31" s="6">
        <v>0</v>
      </c>
      <c r="G31" s="6">
        <v>0</v>
      </c>
      <c r="H31">
        <v>2019</v>
      </c>
    </row>
    <row r="32" spans="1:8">
      <c r="A32" t="s">
        <v>101</v>
      </c>
      <c r="B32" t="s">
        <v>5</v>
      </c>
      <c r="C32" t="s">
        <v>305</v>
      </c>
      <c r="D32" t="s">
        <v>306</v>
      </c>
      <c r="E32" s="6">
        <v>65000</v>
      </c>
      <c r="F32" s="6">
        <v>0</v>
      </c>
      <c r="G32" s="6">
        <v>0</v>
      </c>
      <c r="H32">
        <v>2018</v>
      </c>
    </row>
    <row r="33" spans="1:8">
      <c r="A33" t="s">
        <v>101</v>
      </c>
      <c r="B33" t="s">
        <v>5</v>
      </c>
      <c r="C33" t="s">
        <v>307</v>
      </c>
      <c r="D33" t="s">
        <v>308</v>
      </c>
      <c r="E33" s="6">
        <v>0</v>
      </c>
      <c r="F33" s="6">
        <v>0</v>
      </c>
      <c r="G33" s="6">
        <v>0</v>
      </c>
      <c r="H33">
        <v>2018</v>
      </c>
    </row>
    <row r="34" spans="1:8">
      <c r="A34" t="s">
        <v>101</v>
      </c>
      <c r="B34" t="s">
        <v>5</v>
      </c>
      <c r="C34" t="s">
        <v>309</v>
      </c>
      <c r="D34" t="s">
        <v>310</v>
      </c>
      <c r="E34" s="6">
        <v>0</v>
      </c>
      <c r="F34" s="6">
        <v>0</v>
      </c>
      <c r="G34" s="6">
        <v>0</v>
      </c>
      <c r="H34">
        <v>2018</v>
      </c>
    </row>
    <row r="35" spans="1:8">
      <c r="A35" t="s">
        <v>101</v>
      </c>
      <c r="B35" t="s">
        <v>5</v>
      </c>
      <c r="C35" t="s">
        <v>311</v>
      </c>
      <c r="D35" t="s">
        <v>312</v>
      </c>
      <c r="E35" s="6">
        <v>0</v>
      </c>
      <c r="F35" s="6">
        <v>0</v>
      </c>
      <c r="G35" s="6">
        <v>0</v>
      </c>
      <c r="H35">
        <v>2018</v>
      </c>
    </row>
    <row r="36" spans="1:8">
      <c r="A36" t="s">
        <v>101</v>
      </c>
      <c r="B36" t="s">
        <v>5</v>
      </c>
      <c r="C36" t="s">
        <v>313</v>
      </c>
      <c r="D36" t="s">
        <v>308</v>
      </c>
      <c r="E36" s="6">
        <v>0</v>
      </c>
      <c r="F36" s="6">
        <v>0</v>
      </c>
      <c r="G36" s="6">
        <v>0</v>
      </c>
      <c r="H36">
        <v>2018</v>
      </c>
    </row>
    <row r="37" spans="1:8">
      <c r="A37" t="s">
        <v>101</v>
      </c>
      <c r="B37" t="s">
        <v>5</v>
      </c>
      <c r="C37" t="s">
        <v>314</v>
      </c>
      <c r="D37" t="s">
        <v>315</v>
      </c>
      <c r="E37" s="6">
        <v>0</v>
      </c>
      <c r="F37" s="6">
        <v>0</v>
      </c>
      <c r="G37" s="6">
        <v>0</v>
      </c>
      <c r="H37">
        <v>2018</v>
      </c>
    </row>
    <row r="38" spans="1:8">
      <c r="A38" t="s">
        <v>102</v>
      </c>
      <c r="B38" t="s">
        <v>316</v>
      </c>
      <c r="C38" t="s">
        <v>317</v>
      </c>
      <c r="D38" t="s">
        <v>306</v>
      </c>
      <c r="E38" s="6">
        <v>180000</v>
      </c>
      <c r="F38" s="6">
        <v>0</v>
      </c>
      <c r="G38" s="6">
        <v>0</v>
      </c>
      <c r="H38">
        <v>2023</v>
      </c>
    </row>
    <row r="39" spans="1:8">
      <c r="A39" t="s">
        <v>102</v>
      </c>
      <c r="B39" t="s">
        <v>316</v>
      </c>
      <c r="C39" t="s">
        <v>318</v>
      </c>
      <c r="D39" t="s">
        <v>306</v>
      </c>
      <c r="E39" s="6">
        <v>8706</v>
      </c>
      <c r="F39" s="6">
        <v>0</v>
      </c>
      <c r="G39" s="6">
        <v>0</v>
      </c>
      <c r="H39">
        <v>2023</v>
      </c>
    </row>
    <row r="40" spans="1:8">
      <c r="A40" t="s">
        <v>102</v>
      </c>
      <c r="B40" t="s">
        <v>316</v>
      </c>
      <c r="C40" t="s">
        <v>319</v>
      </c>
      <c r="D40" t="s">
        <v>320</v>
      </c>
      <c r="E40" s="6">
        <v>0</v>
      </c>
      <c r="F40" s="6">
        <v>0</v>
      </c>
      <c r="G40" s="6">
        <v>0</v>
      </c>
      <c r="H40">
        <v>2023</v>
      </c>
    </row>
    <row r="41" spans="1:8">
      <c r="A41" t="s">
        <v>102</v>
      </c>
      <c r="B41" t="s">
        <v>316</v>
      </c>
      <c r="C41" t="s">
        <v>321</v>
      </c>
      <c r="D41" t="s">
        <v>310</v>
      </c>
      <c r="E41" s="6">
        <v>0</v>
      </c>
      <c r="F41" s="6">
        <v>0</v>
      </c>
      <c r="G41" s="6">
        <v>0</v>
      </c>
      <c r="H41">
        <v>2023</v>
      </c>
    </row>
    <row r="42" spans="1:8">
      <c r="A42" t="s">
        <v>102</v>
      </c>
      <c r="B42" t="s">
        <v>316</v>
      </c>
      <c r="C42" t="s">
        <v>322</v>
      </c>
      <c r="D42" t="s">
        <v>315</v>
      </c>
      <c r="E42" s="6">
        <v>0</v>
      </c>
      <c r="F42" s="6">
        <v>0</v>
      </c>
      <c r="G42" s="6">
        <v>0</v>
      </c>
      <c r="H42">
        <v>2023</v>
      </c>
    </row>
    <row r="43" spans="1:8">
      <c r="A43" t="s">
        <v>102</v>
      </c>
      <c r="B43" t="s">
        <v>316</v>
      </c>
      <c r="C43" t="s">
        <v>323</v>
      </c>
      <c r="D43" t="s">
        <v>324</v>
      </c>
      <c r="E43" s="6">
        <v>0</v>
      </c>
      <c r="F43" s="6">
        <v>0</v>
      </c>
      <c r="G43" s="6">
        <v>0</v>
      </c>
      <c r="H43">
        <v>2023</v>
      </c>
    </row>
    <row r="44" spans="1:8">
      <c r="A44" t="s">
        <v>102</v>
      </c>
      <c r="B44" t="s">
        <v>316</v>
      </c>
      <c r="C44" t="s">
        <v>325</v>
      </c>
      <c r="D44" t="s">
        <v>326</v>
      </c>
      <c r="E44" s="6">
        <v>0</v>
      </c>
      <c r="F44" s="6">
        <v>0</v>
      </c>
      <c r="G44" s="6">
        <v>0</v>
      </c>
      <c r="H44">
        <v>2023</v>
      </c>
    </row>
    <row r="45" spans="1:8">
      <c r="A45" t="s">
        <v>102</v>
      </c>
      <c r="B45" t="s">
        <v>316</v>
      </c>
      <c r="C45" t="s">
        <v>327</v>
      </c>
      <c r="D45" t="s">
        <v>326</v>
      </c>
      <c r="E45" s="6">
        <v>0</v>
      </c>
      <c r="F45" s="6">
        <v>0</v>
      </c>
      <c r="G45" s="6">
        <v>0</v>
      </c>
      <c r="H45">
        <v>2023</v>
      </c>
    </row>
    <row r="46" spans="1:8">
      <c r="A46" t="s">
        <v>102</v>
      </c>
      <c r="B46" t="s">
        <v>316</v>
      </c>
      <c r="C46" t="s">
        <v>328</v>
      </c>
      <c r="D46" t="s">
        <v>326</v>
      </c>
      <c r="E46" s="6">
        <v>0</v>
      </c>
      <c r="F46" s="6">
        <v>0</v>
      </c>
      <c r="G46" s="6">
        <v>0</v>
      </c>
      <c r="H46">
        <v>2023</v>
      </c>
    </row>
    <row r="47" spans="1:8">
      <c r="A47" t="s">
        <v>102</v>
      </c>
      <c r="B47" t="s">
        <v>316</v>
      </c>
      <c r="C47" t="s">
        <v>329</v>
      </c>
      <c r="D47" t="s">
        <v>306</v>
      </c>
      <c r="E47" s="6">
        <v>211500</v>
      </c>
      <c r="F47" s="6">
        <v>0</v>
      </c>
      <c r="G47" s="6">
        <v>0</v>
      </c>
      <c r="H47">
        <v>2022</v>
      </c>
    </row>
    <row r="48" spans="1:8">
      <c r="A48" t="s">
        <v>102</v>
      </c>
      <c r="B48" t="s">
        <v>316</v>
      </c>
      <c r="C48" t="s">
        <v>317</v>
      </c>
      <c r="D48" t="s">
        <v>306</v>
      </c>
      <c r="E48" s="6">
        <v>39095</v>
      </c>
      <c r="F48" s="6">
        <v>0</v>
      </c>
      <c r="G48" s="6">
        <v>0</v>
      </c>
      <c r="H48">
        <v>2022</v>
      </c>
    </row>
    <row r="49" spans="1:8">
      <c r="A49" t="s">
        <v>102</v>
      </c>
      <c r="B49" t="s">
        <v>316</v>
      </c>
      <c r="C49" t="s">
        <v>329</v>
      </c>
      <c r="D49" t="s">
        <v>306</v>
      </c>
      <c r="E49" s="6">
        <v>155000</v>
      </c>
      <c r="F49" s="6">
        <v>0</v>
      </c>
      <c r="G49" s="6">
        <v>0</v>
      </c>
      <c r="H49">
        <v>2021</v>
      </c>
    </row>
    <row r="50" spans="1:8">
      <c r="A50" t="s">
        <v>102</v>
      </c>
      <c r="B50" t="s">
        <v>316</v>
      </c>
      <c r="C50" t="s">
        <v>319</v>
      </c>
      <c r="D50" t="s">
        <v>320</v>
      </c>
      <c r="E50" s="6">
        <v>0</v>
      </c>
      <c r="F50" s="6">
        <v>0</v>
      </c>
      <c r="G50" s="6">
        <v>0</v>
      </c>
      <c r="H50">
        <v>2021</v>
      </c>
    </row>
    <row r="51" spans="1:8">
      <c r="A51" t="s">
        <v>102</v>
      </c>
      <c r="B51" t="s">
        <v>316</v>
      </c>
      <c r="C51" t="s">
        <v>329</v>
      </c>
      <c r="D51" t="s">
        <v>306</v>
      </c>
      <c r="E51" s="6">
        <v>140798</v>
      </c>
      <c r="F51" s="6">
        <v>0</v>
      </c>
      <c r="G51" s="6">
        <v>0</v>
      </c>
      <c r="H51">
        <v>2020</v>
      </c>
    </row>
    <row r="52" spans="1:8">
      <c r="A52" t="s">
        <v>102</v>
      </c>
      <c r="B52" t="s">
        <v>316</v>
      </c>
      <c r="C52" t="s">
        <v>319</v>
      </c>
      <c r="D52" t="s">
        <v>324</v>
      </c>
      <c r="E52" s="6">
        <v>0</v>
      </c>
      <c r="F52" s="6">
        <v>0</v>
      </c>
      <c r="G52" s="6">
        <v>0</v>
      </c>
      <c r="H52">
        <v>2020</v>
      </c>
    </row>
    <row r="53" spans="1:8">
      <c r="A53" t="s">
        <v>102</v>
      </c>
      <c r="B53" t="s">
        <v>316</v>
      </c>
      <c r="C53" t="s">
        <v>329</v>
      </c>
      <c r="D53" t="s">
        <v>306</v>
      </c>
      <c r="E53" s="6">
        <v>111900</v>
      </c>
      <c r="F53" s="6">
        <v>0</v>
      </c>
      <c r="G53" s="6">
        <v>0</v>
      </c>
      <c r="H53">
        <v>2019</v>
      </c>
    </row>
    <row r="54" spans="1:8">
      <c r="A54" t="s">
        <v>102</v>
      </c>
      <c r="B54" t="s">
        <v>316</v>
      </c>
      <c r="C54" t="s">
        <v>330</v>
      </c>
      <c r="D54" t="s">
        <v>326</v>
      </c>
      <c r="E54" s="6">
        <v>0</v>
      </c>
      <c r="F54" s="6">
        <v>0</v>
      </c>
      <c r="G54" s="6">
        <v>0</v>
      </c>
      <c r="H54">
        <v>2019</v>
      </c>
    </row>
    <row r="55" spans="1:8">
      <c r="A55" t="s">
        <v>102</v>
      </c>
      <c r="B55" t="s">
        <v>316</v>
      </c>
      <c r="C55" t="s">
        <v>319</v>
      </c>
      <c r="D55" t="s">
        <v>324</v>
      </c>
      <c r="E55" s="6">
        <v>0</v>
      </c>
      <c r="F55" s="6">
        <v>0</v>
      </c>
      <c r="G55" s="6">
        <v>0</v>
      </c>
      <c r="H55">
        <v>2019</v>
      </c>
    </row>
    <row r="56" spans="1:8">
      <c r="A56" t="s">
        <v>102</v>
      </c>
      <c r="B56" t="s">
        <v>316</v>
      </c>
      <c r="C56" t="s">
        <v>329</v>
      </c>
      <c r="D56" t="s">
        <v>306</v>
      </c>
      <c r="E56" s="6">
        <v>99860</v>
      </c>
      <c r="F56" s="6">
        <v>0</v>
      </c>
      <c r="G56" s="6">
        <v>0</v>
      </c>
      <c r="H56">
        <v>2018</v>
      </c>
    </row>
    <row r="57" spans="1:8">
      <c r="A57" t="s">
        <v>102</v>
      </c>
      <c r="B57" t="s">
        <v>316</v>
      </c>
      <c r="C57" t="s">
        <v>330</v>
      </c>
      <c r="D57" t="s">
        <v>320</v>
      </c>
      <c r="E57" s="6">
        <v>0</v>
      </c>
      <c r="F57" s="6">
        <v>0</v>
      </c>
      <c r="G57" s="6">
        <v>0</v>
      </c>
      <c r="H57">
        <v>2018</v>
      </c>
    </row>
    <row r="58" spans="1:8">
      <c r="A58" t="s">
        <v>102</v>
      </c>
      <c r="B58" t="s">
        <v>316</v>
      </c>
      <c r="C58" t="s">
        <v>331</v>
      </c>
      <c r="D58" t="s">
        <v>324</v>
      </c>
      <c r="E58" s="6">
        <v>0</v>
      </c>
      <c r="F58" s="6">
        <v>0</v>
      </c>
      <c r="G58" s="6">
        <v>0</v>
      </c>
      <c r="H58">
        <v>2018</v>
      </c>
    </row>
    <row r="59" spans="1:8">
      <c r="A59" t="s">
        <v>102</v>
      </c>
      <c r="B59" t="s">
        <v>316</v>
      </c>
      <c r="C59" t="s">
        <v>330</v>
      </c>
      <c r="D59" t="s">
        <v>320</v>
      </c>
      <c r="E59" s="6">
        <v>60</v>
      </c>
      <c r="F59" s="6">
        <v>0</v>
      </c>
      <c r="G59" s="6">
        <v>0</v>
      </c>
      <c r="H59">
        <v>2017</v>
      </c>
    </row>
    <row r="60" spans="1:8">
      <c r="A60" t="s">
        <v>102</v>
      </c>
      <c r="B60" t="s">
        <v>316</v>
      </c>
      <c r="C60" t="s">
        <v>331</v>
      </c>
      <c r="D60" t="s">
        <v>324</v>
      </c>
      <c r="E60" s="6">
        <v>0</v>
      </c>
      <c r="F60" s="6">
        <v>0</v>
      </c>
      <c r="G60" s="6">
        <v>0</v>
      </c>
      <c r="H60">
        <v>2017</v>
      </c>
    </row>
    <row r="61" spans="1:8">
      <c r="A61" t="s">
        <v>102</v>
      </c>
      <c r="B61" t="s">
        <v>316</v>
      </c>
      <c r="C61" t="s">
        <v>332</v>
      </c>
      <c r="D61" t="s">
        <v>326</v>
      </c>
      <c r="E61" s="6">
        <v>0</v>
      </c>
      <c r="F61" s="6">
        <v>0</v>
      </c>
      <c r="G61" s="6">
        <v>0</v>
      </c>
      <c r="H61">
        <v>2017</v>
      </c>
    </row>
    <row r="62" spans="1:8">
      <c r="A62" t="s">
        <v>102</v>
      </c>
      <c r="B62" t="s">
        <v>316</v>
      </c>
      <c r="C62" t="s">
        <v>333</v>
      </c>
      <c r="D62" t="s">
        <v>320</v>
      </c>
      <c r="E62" s="6">
        <v>0</v>
      </c>
      <c r="F62" s="6">
        <v>0</v>
      </c>
      <c r="G62" s="6">
        <v>0</v>
      </c>
      <c r="H62">
        <v>2016</v>
      </c>
    </row>
    <row r="63" spans="1:8">
      <c r="A63" t="s">
        <v>102</v>
      </c>
      <c r="B63" t="s">
        <v>316</v>
      </c>
      <c r="C63" t="s">
        <v>334</v>
      </c>
      <c r="D63" t="s">
        <v>324</v>
      </c>
      <c r="E63" s="6">
        <v>0</v>
      </c>
      <c r="F63" s="6">
        <v>0</v>
      </c>
      <c r="G63" s="6">
        <v>0</v>
      </c>
      <c r="H63">
        <v>2016</v>
      </c>
    </row>
    <row r="64" spans="1:8">
      <c r="A64" t="s">
        <v>102</v>
      </c>
      <c r="B64" t="s">
        <v>316</v>
      </c>
      <c r="C64" t="s">
        <v>332</v>
      </c>
      <c r="D64" t="s">
        <v>324</v>
      </c>
      <c r="E64" s="6">
        <v>0</v>
      </c>
      <c r="F64" s="6">
        <v>0</v>
      </c>
      <c r="G64" s="6">
        <v>0</v>
      </c>
      <c r="H64">
        <v>2016</v>
      </c>
    </row>
    <row r="65" spans="1:8">
      <c r="A65" t="s">
        <v>102</v>
      </c>
      <c r="B65" t="s">
        <v>316</v>
      </c>
      <c r="C65" t="s">
        <v>333</v>
      </c>
      <c r="D65" t="s">
        <v>320</v>
      </c>
      <c r="E65" s="6">
        <v>0</v>
      </c>
      <c r="F65" s="6">
        <v>0</v>
      </c>
      <c r="G65" s="6">
        <v>0</v>
      </c>
      <c r="H65">
        <v>2015</v>
      </c>
    </row>
    <row r="66" spans="1:8">
      <c r="A66" t="s">
        <v>102</v>
      </c>
      <c r="B66" t="s">
        <v>316</v>
      </c>
      <c r="C66" t="s">
        <v>334</v>
      </c>
      <c r="D66" t="s">
        <v>324</v>
      </c>
      <c r="E66" s="6">
        <v>0</v>
      </c>
      <c r="F66" s="6">
        <v>0</v>
      </c>
      <c r="G66" s="6">
        <v>0</v>
      </c>
      <c r="H66">
        <v>2015</v>
      </c>
    </row>
    <row r="67" spans="1:8">
      <c r="A67" t="s">
        <v>103</v>
      </c>
      <c r="B67" t="s">
        <v>10</v>
      </c>
      <c r="C67" t="s">
        <v>335</v>
      </c>
      <c r="D67" t="s">
        <v>306</v>
      </c>
      <c r="E67" s="6">
        <v>45689</v>
      </c>
      <c r="F67" s="6">
        <v>0</v>
      </c>
      <c r="G67" s="6">
        <v>0</v>
      </c>
      <c r="H67">
        <v>2023</v>
      </c>
    </row>
    <row r="68" spans="1:8">
      <c r="A68" t="s">
        <v>103</v>
      </c>
      <c r="B68" t="s">
        <v>10</v>
      </c>
      <c r="C68" t="s">
        <v>336</v>
      </c>
      <c r="D68" t="s">
        <v>310</v>
      </c>
      <c r="E68" s="6">
        <v>0</v>
      </c>
      <c r="F68" s="6">
        <v>0</v>
      </c>
      <c r="G68" s="6">
        <v>0</v>
      </c>
      <c r="H68">
        <v>2023</v>
      </c>
    </row>
    <row r="69" spans="1:8">
      <c r="A69" t="s">
        <v>103</v>
      </c>
      <c r="B69" t="s">
        <v>10</v>
      </c>
      <c r="C69" t="s">
        <v>337</v>
      </c>
      <c r="D69" t="s">
        <v>320</v>
      </c>
      <c r="E69" s="6">
        <v>0</v>
      </c>
      <c r="F69" s="6">
        <v>0</v>
      </c>
      <c r="G69" s="6">
        <v>0</v>
      </c>
      <c r="H69">
        <v>2023</v>
      </c>
    </row>
    <row r="70" spans="1:8">
      <c r="A70" t="s">
        <v>103</v>
      </c>
      <c r="B70" t="s">
        <v>10</v>
      </c>
      <c r="C70" t="s">
        <v>338</v>
      </c>
      <c r="D70" t="s">
        <v>339</v>
      </c>
      <c r="E70" s="6">
        <v>13505</v>
      </c>
      <c r="F70" s="6">
        <v>0</v>
      </c>
      <c r="G70" s="6">
        <v>0</v>
      </c>
      <c r="H70">
        <v>2022</v>
      </c>
    </row>
    <row r="71" spans="1:8">
      <c r="A71" t="s">
        <v>103</v>
      </c>
      <c r="B71" t="s">
        <v>10</v>
      </c>
      <c r="C71" t="s">
        <v>340</v>
      </c>
      <c r="D71" t="s">
        <v>341</v>
      </c>
      <c r="E71" s="6">
        <v>13491</v>
      </c>
      <c r="F71" s="6">
        <v>0</v>
      </c>
      <c r="G71" s="6">
        <v>0</v>
      </c>
      <c r="H71">
        <v>2022</v>
      </c>
    </row>
    <row r="72" spans="1:8">
      <c r="A72" t="s">
        <v>103</v>
      </c>
      <c r="B72" t="s">
        <v>10</v>
      </c>
      <c r="C72" t="s">
        <v>335</v>
      </c>
      <c r="D72" t="s">
        <v>306</v>
      </c>
      <c r="E72" s="6">
        <v>10653</v>
      </c>
      <c r="F72" s="6">
        <v>0</v>
      </c>
      <c r="G72" s="6">
        <v>0</v>
      </c>
      <c r="H72">
        <v>2022</v>
      </c>
    </row>
    <row r="73" spans="1:8">
      <c r="A73" t="s">
        <v>103</v>
      </c>
      <c r="B73" t="s">
        <v>10</v>
      </c>
      <c r="C73" t="s">
        <v>338</v>
      </c>
      <c r="D73" t="s">
        <v>315</v>
      </c>
      <c r="E73" s="6">
        <v>0</v>
      </c>
      <c r="F73" s="6">
        <v>0</v>
      </c>
      <c r="G73" s="6">
        <v>0</v>
      </c>
      <c r="H73">
        <v>2021</v>
      </c>
    </row>
    <row r="74" spans="1:8">
      <c r="A74" t="s">
        <v>103</v>
      </c>
      <c r="B74" t="s">
        <v>10</v>
      </c>
      <c r="C74" t="s">
        <v>335</v>
      </c>
      <c r="D74" t="s">
        <v>320</v>
      </c>
      <c r="E74" s="6">
        <v>0</v>
      </c>
      <c r="F74" s="6">
        <v>0</v>
      </c>
      <c r="G74" s="6">
        <v>0</v>
      </c>
      <c r="H74">
        <v>2021</v>
      </c>
    </row>
    <row r="75" spans="1:8">
      <c r="A75" t="s">
        <v>103</v>
      </c>
      <c r="B75" t="s">
        <v>10</v>
      </c>
      <c r="C75" t="s">
        <v>340</v>
      </c>
      <c r="D75" t="s">
        <v>310</v>
      </c>
      <c r="E75" s="6">
        <v>0</v>
      </c>
      <c r="F75" s="6">
        <v>0</v>
      </c>
      <c r="G75" s="6">
        <v>0</v>
      </c>
      <c r="H75">
        <v>2021</v>
      </c>
    </row>
    <row r="76" spans="1:8">
      <c r="A76" t="s">
        <v>18</v>
      </c>
      <c r="B76" t="s">
        <v>12</v>
      </c>
      <c r="C76" t="s">
        <v>342</v>
      </c>
      <c r="D76" t="s">
        <v>320</v>
      </c>
      <c r="E76" s="6">
        <v>0</v>
      </c>
      <c r="F76" s="6">
        <v>0</v>
      </c>
      <c r="G76" s="6">
        <v>0</v>
      </c>
      <c r="H76">
        <v>2023</v>
      </c>
    </row>
    <row r="77" spans="1:8">
      <c r="A77" t="s">
        <v>18</v>
      </c>
      <c r="B77" t="s">
        <v>12</v>
      </c>
      <c r="C77" t="s">
        <v>343</v>
      </c>
      <c r="D77" t="s">
        <v>315</v>
      </c>
      <c r="E77" s="6">
        <v>0</v>
      </c>
      <c r="F77" s="6">
        <v>0</v>
      </c>
      <c r="G77" s="6">
        <v>0</v>
      </c>
      <c r="H77">
        <v>2023</v>
      </c>
    </row>
    <row r="78" spans="1:8">
      <c r="A78" t="s">
        <v>18</v>
      </c>
      <c r="B78" t="s">
        <v>12</v>
      </c>
      <c r="C78" t="s">
        <v>344</v>
      </c>
      <c r="D78" t="s">
        <v>310</v>
      </c>
      <c r="E78" s="6">
        <v>0</v>
      </c>
      <c r="F78" s="6">
        <v>0</v>
      </c>
      <c r="G78" s="6">
        <v>0</v>
      </c>
      <c r="H78">
        <v>2023</v>
      </c>
    </row>
    <row r="79" spans="1:8">
      <c r="A79" t="s">
        <v>18</v>
      </c>
      <c r="B79" t="s">
        <v>12</v>
      </c>
      <c r="C79" t="s">
        <v>342</v>
      </c>
      <c r="D79" t="s">
        <v>320</v>
      </c>
      <c r="E79" s="6">
        <v>0</v>
      </c>
      <c r="F79" s="6">
        <v>0</v>
      </c>
      <c r="G79" s="6">
        <v>0</v>
      </c>
      <c r="H79">
        <v>2022</v>
      </c>
    </row>
    <row r="80" spans="1:8">
      <c r="A80" t="s">
        <v>18</v>
      </c>
      <c r="B80" t="s">
        <v>12</v>
      </c>
      <c r="C80" t="s">
        <v>343</v>
      </c>
      <c r="D80" t="s">
        <v>315</v>
      </c>
      <c r="E80" s="6">
        <v>0</v>
      </c>
      <c r="F80" s="6">
        <v>0</v>
      </c>
      <c r="G80" s="6">
        <v>0</v>
      </c>
      <c r="H80">
        <v>2022</v>
      </c>
    </row>
    <row r="81" spans="1:8">
      <c r="A81" t="s">
        <v>18</v>
      </c>
      <c r="B81" t="s">
        <v>12</v>
      </c>
      <c r="C81" t="s">
        <v>344</v>
      </c>
      <c r="D81" t="s">
        <v>310</v>
      </c>
      <c r="E81" s="6">
        <v>0</v>
      </c>
      <c r="F81" s="6">
        <v>0</v>
      </c>
      <c r="G81" s="6">
        <v>0</v>
      </c>
      <c r="H81">
        <v>2022</v>
      </c>
    </row>
    <row r="82" spans="1:8">
      <c r="A82" t="s">
        <v>18</v>
      </c>
      <c r="B82" t="s">
        <v>12</v>
      </c>
      <c r="C82" t="s">
        <v>342</v>
      </c>
      <c r="D82" t="s">
        <v>320</v>
      </c>
      <c r="E82" s="6">
        <v>0</v>
      </c>
      <c r="F82" s="6">
        <v>0</v>
      </c>
      <c r="G82" s="6">
        <v>0</v>
      </c>
      <c r="H82">
        <v>2021</v>
      </c>
    </row>
    <row r="83" spans="1:8">
      <c r="A83" t="s">
        <v>18</v>
      </c>
      <c r="B83" t="s">
        <v>12</v>
      </c>
      <c r="C83" t="s">
        <v>343</v>
      </c>
      <c r="D83" t="s">
        <v>315</v>
      </c>
      <c r="E83" s="6">
        <v>0</v>
      </c>
      <c r="F83" s="6">
        <v>0</v>
      </c>
      <c r="G83" s="6">
        <v>0</v>
      </c>
      <c r="H83">
        <v>2021</v>
      </c>
    </row>
    <row r="84" spans="1:8">
      <c r="A84" t="s">
        <v>18</v>
      </c>
      <c r="B84" t="s">
        <v>12</v>
      </c>
      <c r="C84" t="s">
        <v>344</v>
      </c>
      <c r="D84" t="s">
        <v>310</v>
      </c>
      <c r="E84" s="6">
        <v>0</v>
      </c>
      <c r="F84" s="6">
        <v>0</v>
      </c>
      <c r="G84" s="6">
        <v>0</v>
      </c>
      <c r="H84">
        <v>2021</v>
      </c>
    </row>
    <row r="85" spans="1:8">
      <c r="A85" t="s">
        <v>18</v>
      </c>
      <c r="B85" t="s">
        <v>12</v>
      </c>
      <c r="C85" t="s">
        <v>342</v>
      </c>
      <c r="D85" t="s">
        <v>320</v>
      </c>
      <c r="E85" s="6">
        <v>0</v>
      </c>
      <c r="F85" s="6">
        <v>0</v>
      </c>
      <c r="G85" s="6">
        <v>0</v>
      </c>
      <c r="H85">
        <v>2020</v>
      </c>
    </row>
    <row r="86" spans="1:8">
      <c r="A86" t="s">
        <v>18</v>
      </c>
      <c r="B86" t="s">
        <v>12</v>
      </c>
      <c r="C86" t="s">
        <v>343</v>
      </c>
      <c r="D86" t="s">
        <v>315</v>
      </c>
      <c r="E86" s="6">
        <v>0</v>
      </c>
      <c r="F86" s="6">
        <v>0</v>
      </c>
      <c r="G86" s="6">
        <v>0</v>
      </c>
      <c r="H86">
        <v>2020</v>
      </c>
    </row>
    <row r="87" spans="1:8">
      <c r="A87" t="s">
        <v>18</v>
      </c>
      <c r="B87" t="s">
        <v>12</v>
      </c>
      <c r="C87" t="s">
        <v>344</v>
      </c>
      <c r="D87" t="s">
        <v>310</v>
      </c>
      <c r="E87" s="6">
        <v>0</v>
      </c>
      <c r="F87" s="6">
        <v>0</v>
      </c>
      <c r="G87" s="6">
        <v>0</v>
      </c>
      <c r="H87">
        <v>2020</v>
      </c>
    </row>
    <row r="88" spans="1:8">
      <c r="A88" t="s">
        <v>18</v>
      </c>
      <c r="B88" t="s">
        <v>12</v>
      </c>
      <c r="C88" t="s">
        <v>342</v>
      </c>
      <c r="D88" t="s">
        <v>320</v>
      </c>
      <c r="E88" s="6">
        <v>0</v>
      </c>
      <c r="F88" s="6">
        <v>0</v>
      </c>
      <c r="G88" s="6">
        <v>0</v>
      </c>
      <c r="H88">
        <v>2019</v>
      </c>
    </row>
    <row r="89" spans="1:8">
      <c r="A89" t="s">
        <v>18</v>
      </c>
      <c r="B89" t="s">
        <v>12</v>
      </c>
      <c r="C89" t="s">
        <v>343</v>
      </c>
      <c r="D89" t="s">
        <v>315</v>
      </c>
      <c r="E89" s="6">
        <v>0</v>
      </c>
      <c r="F89" s="6">
        <v>0</v>
      </c>
      <c r="G89" s="6">
        <v>0</v>
      </c>
      <c r="H89">
        <v>2019</v>
      </c>
    </row>
    <row r="90" spans="1:8">
      <c r="A90" t="s">
        <v>18</v>
      </c>
      <c r="B90" t="s">
        <v>12</v>
      </c>
      <c r="C90" t="s">
        <v>344</v>
      </c>
      <c r="D90" t="s">
        <v>310</v>
      </c>
      <c r="E90" s="6">
        <v>0</v>
      </c>
      <c r="F90" s="6">
        <v>0</v>
      </c>
      <c r="G90" s="6">
        <v>0</v>
      </c>
      <c r="H90">
        <v>2019</v>
      </c>
    </row>
    <row r="91" spans="1:8">
      <c r="A91" t="s">
        <v>17</v>
      </c>
      <c r="B91" t="s">
        <v>14</v>
      </c>
      <c r="C91" t="s">
        <v>345</v>
      </c>
      <c r="D91" t="s">
        <v>346</v>
      </c>
      <c r="E91" s="6">
        <v>52243</v>
      </c>
      <c r="F91" s="6">
        <v>0</v>
      </c>
      <c r="G91" s="6">
        <v>0</v>
      </c>
      <c r="H91">
        <v>2023</v>
      </c>
    </row>
    <row r="92" spans="1:8">
      <c r="A92" t="s">
        <v>17</v>
      </c>
      <c r="B92" t="s">
        <v>14</v>
      </c>
      <c r="C92" t="s">
        <v>347</v>
      </c>
      <c r="D92" t="s">
        <v>326</v>
      </c>
      <c r="E92" s="6">
        <v>27711</v>
      </c>
      <c r="F92" s="6">
        <v>0</v>
      </c>
      <c r="G92" s="6">
        <v>0</v>
      </c>
      <c r="H92">
        <v>2023</v>
      </c>
    </row>
    <row r="93" spans="1:8">
      <c r="A93" t="s">
        <v>17</v>
      </c>
      <c r="B93" t="s">
        <v>14</v>
      </c>
      <c r="C93" t="s">
        <v>348</v>
      </c>
      <c r="D93" t="s">
        <v>326</v>
      </c>
      <c r="E93" s="6">
        <v>11925</v>
      </c>
      <c r="F93" s="6">
        <v>0</v>
      </c>
      <c r="G93" s="6">
        <v>0</v>
      </c>
      <c r="H93">
        <v>2023</v>
      </c>
    </row>
    <row r="94" spans="1:8">
      <c r="A94" t="s">
        <v>17</v>
      </c>
      <c r="B94" t="s">
        <v>14</v>
      </c>
      <c r="C94" t="s">
        <v>349</v>
      </c>
      <c r="D94" t="s">
        <v>324</v>
      </c>
      <c r="E94" s="6">
        <v>347</v>
      </c>
      <c r="F94" s="6">
        <v>0</v>
      </c>
      <c r="G94" s="6">
        <v>0</v>
      </c>
      <c r="H94">
        <v>2023</v>
      </c>
    </row>
    <row r="95" spans="1:8">
      <c r="A95" t="s">
        <v>17</v>
      </c>
      <c r="B95" t="s">
        <v>14</v>
      </c>
      <c r="C95" t="s">
        <v>345</v>
      </c>
      <c r="D95" t="s">
        <v>346</v>
      </c>
      <c r="E95" s="6">
        <v>39520</v>
      </c>
      <c r="F95" s="6">
        <v>0</v>
      </c>
      <c r="G95" s="6">
        <v>0</v>
      </c>
      <c r="H95">
        <v>2022</v>
      </c>
    </row>
    <row r="96" spans="1:8">
      <c r="A96" t="s">
        <v>17</v>
      </c>
      <c r="B96" t="s">
        <v>14</v>
      </c>
      <c r="C96" t="s">
        <v>350</v>
      </c>
      <c r="D96" t="s">
        <v>326</v>
      </c>
      <c r="E96" s="6">
        <v>9405</v>
      </c>
      <c r="F96" s="6">
        <v>0</v>
      </c>
      <c r="G96" s="6">
        <v>0</v>
      </c>
      <c r="H96">
        <v>2022</v>
      </c>
    </row>
    <row r="97" spans="1:8">
      <c r="A97" t="s">
        <v>17</v>
      </c>
      <c r="B97" t="s">
        <v>14</v>
      </c>
      <c r="C97" t="s">
        <v>347</v>
      </c>
      <c r="D97" t="s">
        <v>326</v>
      </c>
      <c r="E97" s="6">
        <v>5144</v>
      </c>
      <c r="F97" s="6">
        <v>0</v>
      </c>
      <c r="G97" s="6">
        <v>0</v>
      </c>
      <c r="H97">
        <v>2022</v>
      </c>
    </row>
    <row r="98" spans="1:8">
      <c r="A98" t="s">
        <v>17</v>
      </c>
      <c r="B98" t="s">
        <v>14</v>
      </c>
      <c r="C98" t="s">
        <v>348</v>
      </c>
      <c r="D98" t="s">
        <v>326</v>
      </c>
      <c r="E98" s="6">
        <v>5109</v>
      </c>
      <c r="F98" s="6">
        <v>0</v>
      </c>
      <c r="G98" s="6">
        <v>0</v>
      </c>
      <c r="H98">
        <v>2022</v>
      </c>
    </row>
    <row r="99" spans="1:8">
      <c r="A99" t="s">
        <v>17</v>
      </c>
      <c r="B99" t="s">
        <v>14</v>
      </c>
      <c r="C99" t="s">
        <v>349</v>
      </c>
      <c r="D99" t="s">
        <v>324</v>
      </c>
      <c r="E99" s="6">
        <v>4994</v>
      </c>
      <c r="F99" s="6">
        <v>0</v>
      </c>
      <c r="G99" s="6">
        <v>0</v>
      </c>
      <c r="H99">
        <v>2022</v>
      </c>
    </row>
    <row r="100" spans="1:8">
      <c r="A100" t="s">
        <v>17</v>
      </c>
      <c r="B100" t="s">
        <v>14</v>
      </c>
      <c r="C100" t="s">
        <v>348</v>
      </c>
      <c r="D100" t="s">
        <v>326</v>
      </c>
      <c r="E100" s="6">
        <v>5109</v>
      </c>
      <c r="F100" s="6">
        <v>0</v>
      </c>
      <c r="G100" s="6">
        <v>0</v>
      </c>
      <c r="H100">
        <v>2021</v>
      </c>
    </row>
    <row r="101" spans="1:8">
      <c r="A101" t="s">
        <v>17</v>
      </c>
      <c r="B101" t="s">
        <v>14</v>
      </c>
      <c r="C101" t="s">
        <v>350</v>
      </c>
      <c r="D101" t="s">
        <v>326</v>
      </c>
      <c r="E101" s="6">
        <v>450</v>
      </c>
      <c r="F101" s="6">
        <v>0</v>
      </c>
      <c r="G101" s="6">
        <v>0</v>
      </c>
      <c r="H101">
        <v>2021</v>
      </c>
    </row>
    <row r="102" spans="1:8">
      <c r="A102" t="s">
        <v>17</v>
      </c>
      <c r="B102" t="s">
        <v>14</v>
      </c>
      <c r="C102" t="s">
        <v>351</v>
      </c>
      <c r="D102" t="s">
        <v>326</v>
      </c>
      <c r="E102" s="6">
        <v>290</v>
      </c>
      <c r="F102" s="6">
        <v>0</v>
      </c>
      <c r="G102" s="6">
        <v>0</v>
      </c>
      <c r="H102">
        <v>2021</v>
      </c>
    </row>
    <row r="103" spans="1:8">
      <c r="A103" t="s">
        <v>17</v>
      </c>
      <c r="B103" t="s">
        <v>14</v>
      </c>
      <c r="C103" t="s">
        <v>347</v>
      </c>
      <c r="D103" t="s">
        <v>326</v>
      </c>
      <c r="E103" s="6">
        <v>200</v>
      </c>
      <c r="F103" s="6">
        <v>0</v>
      </c>
      <c r="G103" s="6">
        <v>0</v>
      </c>
      <c r="H103">
        <v>2021</v>
      </c>
    </row>
    <row r="104" spans="1:8">
      <c r="A104" t="s">
        <v>17</v>
      </c>
      <c r="B104" t="s">
        <v>14</v>
      </c>
      <c r="C104" t="s">
        <v>345</v>
      </c>
      <c r="D104" t="s">
        <v>346</v>
      </c>
      <c r="E104" s="6">
        <v>30207</v>
      </c>
      <c r="F104" s="6">
        <v>0</v>
      </c>
      <c r="G104" s="6">
        <v>0</v>
      </c>
      <c r="H104">
        <v>2020</v>
      </c>
    </row>
    <row r="105" spans="1:8">
      <c r="A105" t="s">
        <v>17</v>
      </c>
      <c r="B105" t="s">
        <v>14</v>
      </c>
      <c r="C105" t="s">
        <v>352</v>
      </c>
      <c r="D105" t="s">
        <v>324</v>
      </c>
      <c r="E105" s="6">
        <v>0</v>
      </c>
      <c r="F105" s="6">
        <v>0</v>
      </c>
      <c r="G105" s="6">
        <v>0</v>
      </c>
      <c r="H105">
        <v>2020</v>
      </c>
    </row>
    <row r="106" spans="1:8">
      <c r="A106" t="s">
        <v>17</v>
      </c>
      <c r="B106" t="s">
        <v>14</v>
      </c>
      <c r="C106" t="s">
        <v>353</v>
      </c>
      <c r="D106" t="s">
        <v>310</v>
      </c>
      <c r="E106" s="6">
        <v>0</v>
      </c>
      <c r="F106" s="6">
        <v>0</v>
      </c>
      <c r="G106" s="6">
        <v>0</v>
      </c>
      <c r="H106">
        <v>2020</v>
      </c>
    </row>
    <row r="107" spans="1:8">
      <c r="A107" t="s">
        <v>17</v>
      </c>
      <c r="B107" t="s">
        <v>14</v>
      </c>
      <c r="C107" t="s">
        <v>349</v>
      </c>
      <c r="D107" t="s">
        <v>315</v>
      </c>
      <c r="E107" s="6">
        <v>0</v>
      </c>
      <c r="F107" s="6">
        <v>0</v>
      </c>
      <c r="G107" s="6">
        <v>0</v>
      </c>
      <c r="H107">
        <v>2020</v>
      </c>
    </row>
    <row r="108" spans="1:8">
      <c r="A108" t="s">
        <v>17</v>
      </c>
      <c r="B108" t="s">
        <v>14</v>
      </c>
      <c r="C108" t="s">
        <v>347</v>
      </c>
      <c r="D108" t="s">
        <v>326</v>
      </c>
      <c r="E108" s="6">
        <v>0</v>
      </c>
      <c r="F108" s="6">
        <v>0</v>
      </c>
      <c r="G108" s="6">
        <v>0</v>
      </c>
      <c r="H108">
        <v>2020</v>
      </c>
    </row>
    <row r="109" spans="1:8">
      <c r="A109" t="s">
        <v>20</v>
      </c>
      <c r="B109" t="s">
        <v>19</v>
      </c>
      <c r="C109" t="s">
        <v>354</v>
      </c>
      <c r="D109" t="s">
        <v>320</v>
      </c>
      <c r="E109" s="6">
        <v>0</v>
      </c>
      <c r="F109" s="6">
        <v>0</v>
      </c>
      <c r="G109" s="6">
        <v>0</v>
      </c>
      <c r="H109">
        <v>2023</v>
      </c>
    </row>
    <row r="110" spans="1:8">
      <c r="A110" t="s">
        <v>20</v>
      </c>
      <c r="B110" t="s">
        <v>19</v>
      </c>
      <c r="C110" t="s">
        <v>355</v>
      </c>
      <c r="D110" t="s">
        <v>324</v>
      </c>
      <c r="E110" s="6">
        <v>0</v>
      </c>
      <c r="F110" s="6">
        <v>0</v>
      </c>
      <c r="G110" s="6">
        <v>0</v>
      </c>
      <c r="H110">
        <v>2023</v>
      </c>
    </row>
    <row r="111" spans="1:8">
      <c r="A111" t="s">
        <v>20</v>
      </c>
      <c r="B111" t="s">
        <v>19</v>
      </c>
      <c r="C111" t="s">
        <v>356</v>
      </c>
      <c r="D111" t="s">
        <v>310</v>
      </c>
      <c r="E111" s="6">
        <v>0</v>
      </c>
      <c r="F111" s="6">
        <v>0</v>
      </c>
      <c r="G111" s="6">
        <v>0</v>
      </c>
      <c r="H111">
        <v>2023</v>
      </c>
    </row>
    <row r="112" spans="1:8">
      <c r="A112" t="s">
        <v>20</v>
      </c>
      <c r="B112" t="s">
        <v>19</v>
      </c>
      <c r="C112" t="s">
        <v>357</v>
      </c>
      <c r="D112" t="s">
        <v>315</v>
      </c>
      <c r="E112" s="6">
        <v>0</v>
      </c>
      <c r="F112" s="6">
        <v>0</v>
      </c>
      <c r="G112" s="6">
        <v>0</v>
      </c>
      <c r="H112">
        <v>2023</v>
      </c>
    </row>
    <row r="113" spans="1:8">
      <c r="A113" t="s">
        <v>20</v>
      </c>
      <c r="B113" t="s">
        <v>19</v>
      </c>
      <c r="C113" t="s">
        <v>358</v>
      </c>
      <c r="D113" t="s">
        <v>320</v>
      </c>
      <c r="E113" s="6">
        <v>0</v>
      </c>
      <c r="F113" s="6">
        <v>0</v>
      </c>
      <c r="G113" s="6">
        <v>0</v>
      </c>
      <c r="H113">
        <v>2022</v>
      </c>
    </row>
    <row r="114" spans="1:8">
      <c r="A114" t="s">
        <v>20</v>
      </c>
      <c r="B114" t="s">
        <v>19</v>
      </c>
      <c r="C114" t="s">
        <v>359</v>
      </c>
      <c r="D114" t="s">
        <v>324</v>
      </c>
      <c r="E114" s="6">
        <v>0</v>
      </c>
      <c r="F114" s="6">
        <v>0</v>
      </c>
      <c r="G114" s="6">
        <v>0</v>
      </c>
      <c r="H114">
        <v>2022</v>
      </c>
    </row>
    <row r="115" spans="1:8">
      <c r="A115" t="s">
        <v>20</v>
      </c>
      <c r="B115" t="s">
        <v>19</v>
      </c>
      <c r="C115" t="s">
        <v>360</v>
      </c>
      <c r="D115" t="s">
        <v>310</v>
      </c>
      <c r="E115" s="6">
        <v>0</v>
      </c>
      <c r="F115" s="6">
        <v>0</v>
      </c>
      <c r="G115" s="6">
        <v>0</v>
      </c>
      <c r="H115">
        <v>2022</v>
      </c>
    </row>
    <row r="116" spans="1:8">
      <c r="A116" t="s">
        <v>20</v>
      </c>
      <c r="B116" t="s">
        <v>19</v>
      </c>
      <c r="C116" t="s">
        <v>361</v>
      </c>
      <c r="D116" t="s">
        <v>320</v>
      </c>
      <c r="E116" s="6">
        <v>0</v>
      </c>
      <c r="F116" s="6">
        <v>0</v>
      </c>
      <c r="G116" s="6">
        <v>0</v>
      </c>
      <c r="H116">
        <v>2021</v>
      </c>
    </row>
    <row r="117" spans="1:8">
      <c r="A117" t="s">
        <v>20</v>
      </c>
      <c r="B117" t="s">
        <v>19</v>
      </c>
      <c r="C117" t="s">
        <v>360</v>
      </c>
      <c r="D117" t="s">
        <v>324</v>
      </c>
      <c r="E117" s="6">
        <v>0</v>
      </c>
      <c r="F117" s="6">
        <v>0</v>
      </c>
      <c r="G117" s="6">
        <v>0</v>
      </c>
      <c r="H117">
        <v>2021</v>
      </c>
    </row>
    <row r="118" spans="1:8">
      <c r="A118" t="s">
        <v>20</v>
      </c>
      <c r="B118" t="s">
        <v>19</v>
      </c>
      <c r="C118" t="s">
        <v>358</v>
      </c>
      <c r="D118" t="s">
        <v>310</v>
      </c>
      <c r="E118" s="6">
        <v>0</v>
      </c>
      <c r="F118" s="6">
        <v>0</v>
      </c>
      <c r="G118" s="6">
        <v>0</v>
      </c>
      <c r="H118">
        <v>2021</v>
      </c>
    </row>
    <row r="119" spans="1:8">
      <c r="A119" t="s">
        <v>20</v>
      </c>
      <c r="B119" t="s">
        <v>19</v>
      </c>
      <c r="C119" t="s">
        <v>361</v>
      </c>
      <c r="D119" t="s">
        <v>320</v>
      </c>
      <c r="E119" s="6">
        <v>0</v>
      </c>
      <c r="F119" s="6">
        <v>0</v>
      </c>
      <c r="G119" s="6">
        <v>0</v>
      </c>
      <c r="H119">
        <v>2020</v>
      </c>
    </row>
    <row r="120" spans="1:8">
      <c r="A120" t="s">
        <v>20</v>
      </c>
      <c r="B120" t="s">
        <v>19</v>
      </c>
      <c r="C120" t="s">
        <v>360</v>
      </c>
      <c r="D120" t="s">
        <v>324</v>
      </c>
      <c r="E120" s="6">
        <v>0</v>
      </c>
      <c r="F120" s="6">
        <v>0</v>
      </c>
      <c r="G120" s="6">
        <v>0</v>
      </c>
      <c r="H120">
        <v>2020</v>
      </c>
    </row>
    <row r="121" spans="1:8">
      <c r="A121" t="s">
        <v>20</v>
      </c>
      <c r="B121" t="s">
        <v>19</v>
      </c>
      <c r="C121" t="s">
        <v>358</v>
      </c>
      <c r="D121" t="s">
        <v>310</v>
      </c>
      <c r="E121" s="6">
        <v>0</v>
      </c>
      <c r="F121" s="6">
        <v>0</v>
      </c>
      <c r="G121" s="6">
        <v>0</v>
      </c>
      <c r="H121">
        <v>2020</v>
      </c>
    </row>
    <row r="122" spans="1:8">
      <c r="A122" t="s">
        <v>20</v>
      </c>
      <c r="B122" t="s">
        <v>19</v>
      </c>
      <c r="C122" t="s">
        <v>360</v>
      </c>
      <c r="D122" t="s">
        <v>324</v>
      </c>
      <c r="E122" s="6">
        <v>0</v>
      </c>
      <c r="F122" s="6">
        <v>0</v>
      </c>
      <c r="G122" s="6">
        <v>0</v>
      </c>
      <c r="H122">
        <v>2019</v>
      </c>
    </row>
    <row r="123" spans="1:8">
      <c r="A123" t="s">
        <v>20</v>
      </c>
      <c r="B123" t="s">
        <v>19</v>
      </c>
      <c r="C123" t="s">
        <v>358</v>
      </c>
      <c r="D123" t="s">
        <v>320</v>
      </c>
      <c r="E123" s="6">
        <v>0</v>
      </c>
      <c r="F123" s="6">
        <v>0</v>
      </c>
      <c r="G123" s="6">
        <v>0</v>
      </c>
      <c r="H123">
        <v>2019</v>
      </c>
    </row>
    <row r="124" spans="1:8">
      <c r="A124" t="s">
        <v>20</v>
      </c>
      <c r="B124" t="s">
        <v>19</v>
      </c>
      <c r="C124" t="s">
        <v>359</v>
      </c>
      <c r="D124" t="s">
        <v>310</v>
      </c>
      <c r="E124" s="6">
        <v>0</v>
      </c>
      <c r="F124" s="6">
        <v>0</v>
      </c>
      <c r="G124" s="6">
        <v>0</v>
      </c>
      <c r="H124">
        <v>2019</v>
      </c>
    </row>
    <row r="125" spans="1:8">
      <c r="A125" t="s">
        <v>20</v>
      </c>
      <c r="B125" t="s">
        <v>19</v>
      </c>
      <c r="C125" t="s">
        <v>361</v>
      </c>
      <c r="D125" t="s">
        <v>320</v>
      </c>
      <c r="E125" s="6">
        <v>0</v>
      </c>
      <c r="F125" s="6">
        <v>0</v>
      </c>
      <c r="G125" s="6">
        <v>0</v>
      </c>
      <c r="H125">
        <v>2018</v>
      </c>
    </row>
    <row r="126" spans="1:8">
      <c r="A126" t="s">
        <v>20</v>
      </c>
      <c r="B126" t="s">
        <v>19</v>
      </c>
      <c r="C126" t="s">
        <v>360</v>
      </c>
      <c r="D126" t="s">
        <v>324</v>
      </c>
      <c r="E126" s="6">
        <v>0</v>
      </c>
      <c r="F126" s="6">
        <v>0</v>
      </c>
      <c r="G126" s="6">
        <v>0</v>
      </c>
      <c r="H126">
        <v>2018</v>
      </c>
    </row>
    <row r="127" spans="1:8">
      <c r="A127" t="s">
        <v>20</v>
      </c>
      <c r="B127" t="s">
        <v>19</v>
      </c>
      <c r="C127" t="s">
        <v>358</v>
      </c>
      <c r="D127" t="s">
        <v>310</v>
      </c>
      <c r="E127" s="6">
        <v>0</v>
      </c>
      <c r="F127" s="6">
        <v>0</v>
      </c>
      <c r="G127" s="6">
        <v>0</v>
      </c>
      <c r="H127">
        <v>2018</v>
      </c>
    </row>
    <row r="128" spans="1:8">
      <c r="A128" t="s">
        <v>23</v>
      </c>
      <c r="B128" t="s">
        <v>21</v>
      </c>
      <c r="C128" t="s">
        <v>362</v>
      </c>
      <c r="D128" t="s">
        <v>363</v>
      </c>
      <c r="E128" s="6">
        <v>104231</v>
      </c>
      <c r="F128" s="6">
        <v>0</v>
      </c>
      <c r="G128" s="6">
        <v>0</v>
      </c>
      <c r="H128">
        <v>2023</v>
      </c>
    </row>
    <row r="129" spans="1:8">
      <c r="A129" t="s">
        <v>23</v>
      </c>
      <c r="B129" t="s">
        <v>21</v>
      </c>
      <c r="C129" t="s">
        <v>364</v>
      </c>
      <c r="D129" t="s">
        <v>326</v>
      </c>
      <c r="E129" s="6">
        <v>0</v>
      </c>
      <c r="F129" s="6">
        <v>0</v>
      </c>
      <c r="G129" s="6">
        <v>0</v>
      </c>
      <c r="H129">
        <v>2023</v>
      </c>
    </row>
    <row r="130" spans="1:8">
      <c r="A130" t="s">
        <v>23</v>
      </c>
      <c r="B130" t="s">
        <v>21</v>
      </c>
      <c r="C130" t="s">
        <v>365</v>
      </c>
      <c r="D130" t="s">
        <v>310</v>
      </c>
      <c r="E130" s="6">
        <v>0</v>
      </c>
      <c r="F130" s="6">
        <v>0</v>
      </c>
      <c r="G130" s="6">
        <v>0</v>
      </c>
      <c r="H130">
        <v>2023</v>
      </c>
    </row>
    <row r="131" spans="1:8">
      <c r="A131" t="s">
        <v>23</v>
      </c>
      <c r="B131" t="s">
        <v>21</v>
      </c>
      <c r="C131" t="s">
        <v>362</v>
      </c>
      <c r="D131" t="s">
        <v>363</v>
      </c>
      <c r="E131" s="6">
        <v>111538</v>
      </c>
      <c r="F131" s="6">
        <v>0</v>
      </c>
      <c r="G131" s="6">
        <v>0</v>
      </c>
      <c r="H131">
        <v>2022</v>
      </c>
    </row>
    <row r="132" spans="1:8">
      <c r="A132" t="s">
        <v>23</v>
      </c>
      <c r="B132" t="s">
        <v>21</v>
      </c>
      <c r="C132" t="s">
        <v>364</v>
      </c>
      <c r="D132" t="s">
        <v>366</v>
      </c>
      <c r="E132" s="6">
        <v>0</v>
      </c>
      <c r="F132" s="6">
        <v>0</v>
      </c>
      <c r="G132" s="6">
        <v>0</v>
      </c>
      <c r="H132">
        <v>2022</v>
      </c>
    </row>
    <row r="133" spans="1:8">
      <c r="A133" t="s">
        <v>23</v>
      </c>
      <c r="B133" t="s">
        <v>21</v>
      </c>
      <c r="C133" t="s">
        <v>365</v>
      </c>
      <c r="D133" t="s">
        <v>310</v>
      </c>
      <c r="E133" s="6">
        <v>0</v>
      </c>
      <c r="F133" s="6">
        <v>0</v>
      </c>
      <c r="G133" s="6">
        <v>0</v>
      </c>
      <c r="H133">
        <v>2022</v>
      </c>
    </row>
    <row r="134" spans="1:8">
      <c r="A134" t="s">
        <v>23</v>
      </c>
      <c r="B134" t="s">
        <v>21</v>
      </c>
      <c r="C134" t="s">
        <v>367</v>
      </c>
      <c r="D134" t="s">
        <v>363</v>
      </c>
      <c r="E134" s="6">
        <v>86688</v>
      </c>
      <c r="F134" s="6">
        <v>0</v>
      </c>
      <c r="G134" s="6">
        <v>0</v>
      </c>
      <c r="H134">
        <v>2021</v>
      </c>
    </row>
    <row r="135" spans="1:8">
      <c r="A135" t="s">
        <v>23</v>
      </c>
      <c r="B135" t="s">
        <v>21</v>
      </c>
      <c r="C135" t="s">
        <v>362</v>
      </c>
      <c r="D135" t="s">
        <v>363</v>
      </c>
      <c r="E135" s="6">
        <v>28846</v>
      </c>
      <c r="F135" s="6">
        <v>0</v>
      </c>
      <c r="G135" s="6">
        <v>0</v>
      </c>
      <c r="H135">
        <v>2021</v>
      </c>
    </row>
    <row r="136" spans="1:8">
      <c r="A136" t="s">
        <v>23</v>
      </c>
      <c r="B136" t="s">
        <v>21</v>
      </c>
      <c r="C136" t="s">
        <v>364</v>
      </c>
      <c r="D136" t="s">
        <v>366</v>
      </c>
      <c r="E136" s="6">
        <v>0</v>
      </c>
      <c r="F136" s="6">
        <v>0</v>
      </c>
      <c r="G136" s="6">
        <v>0</v>
      </c>
      <c r="H136">
        <v>2021</v>
      </c>
    </row>
    <row r="137" spans="1:8">
      <c r="A137" t="s">
        <v>23</v>
      </c>
      <c r="B137" t="s">
        <v>21</v>
      </c>
      <c r="C137" t="s">
        <v>367</v>
      </c>
      <c r="D137" t="s">
        <v>363</v>
      </c>
      <c r="E137" s="6">
        <v>122566</v>
      </c>
      <c r="F137" s="6">
        <v>0</v>
      </c>
      <c r="G137" s="6">
        <v>0</v>
      </c>
      <c r="H137">
        <v>2020</v>
      </c>
    </row>
    <row r="138" spans="1:8">
      <c r="A138" t="s">
        <v>23</v>
      </c>
      <c r="B138" t="s">
        <v>21</v>
      </c>
      <c r="C138" t="s">
        <v>364</v>
      </c>
      <c r="D138" t="s">
        <v>366</v>
      </c>
      <c r="E138" s="6">
        <v>0</v>
      </c>
      <c r="F138" s="6">
        <v>0</v>
      </c>
      <c r="G138" s="6">
        <v>0</v>
      </c>
      <c r="H138">
        <v>2020</v>
      </c>
    </row>
    <row r="139" spans="1:8">
      <c r="A139" t="s">
        <v>23</v>
      </c>
      <c r="B139" t="s">
        <v>21</v>
      </c>
      <c r="C139" t="s">
        <v>368</v>
      </c>
      <c r="D139" t="s">
        <v>310</v>
      </c>
      <c r="E139" s="6">
        <v>0</v>
      </c>
      <c r="F139" s="6">
        <v>0</v>
      </c>
      <c r="G139" s="6">
        <v>0</v>
      </c>
      <c r="H139">
        <v>2020</v>
      </c>
    </row>
    <row r="140" spans="1:8">
      <c r="A140" t="s">
        <v>23</v>
      </c>
      <c r="B140" t="s">
        <v>21</v>
      </c>
      <c r="C140" t="s">
        <v>367</v>
      </c>
      <c r="D140" t="s">
        <v>363</v>
      </c>
      <c r="E140" s="6">
        <v>104508</v>
      </c>
      <c r="F140" s="6">
        <v>0</v>
      </c>
      <c r="G140" s="6">
        <v>0</v>
      </c>
      <c r="H140">
        <v>2019</v>
      </c>
    </row>
    <row r="141" spans="1:8">
      <c r="A141" t="s">
        <v>23</v>
      </c>
      <c r="B141" t="s">
        <v>21</v>
      </c>
      <c r="C141" t="s">
        <v>364</v>
      </c>
      <c r="D141" t="s">
        <v>366</v>
      </c>
      <c r="E141" s="6">
        <v>0</v>
      </c>
      <c r="F141" s="6">
        <v>0</v>
      </c>
      <c r="G141" s="6">
        <v>0</v>
      </c>
      <c r="H141">
        <v>2019</v>
      </c>
    </row>
    <row r="142" spans="1:8">
      <c r="A142" t="s">
        <v>23</v>
      </c>
      <c r="B142" t="s">
        <v>21</v>
      </c>
      <c r="C142" t="s">
        <v>368</v>
      </c>
      <c r="D142" t="s">
        <v>310</v>
      </c>
      <c r="E142" s="6">
        <v>0</v>
      </c>
      <c r="F142" s="6">
        <v>0</v>
      </c>
      <c r="G142" s="6">
        <v>0</v>
      </c>
      <c r="H142">
        <v>2019</v>
      </c>
    </row>
    <row r="143" spans="1:8">
      <c r="A143" t="s">
        <v>25</v>
      </c>
      <c r="B143" t="s">
        <v>24</v>
      </c>
      <c r="C143" t="s">
        <v>369</v>
      </c>
      <c r="D143" t="s">
        <v>308</v>
      </c>
      <c r="E143" s="6">
        <v>21200</v>
      </c>
      <c r="F143" s="6">
        <v>0</v>
      </c>
      <c r="G143" s="6">
        <v>0</v>
      </c>
      <c r="H143">
        <v>2023</v>
      </c>
    </row>
    <row r="144" spans="1:8">
      <c r="A144" t="s">
        <v>25</v>
      </c>
      <c r="B144" t="s">
        <v>24</v>
      </c>
      <c r="C144" t="s">
        <v>370</v>
      </c>
      <c r="D144" t="s">
        <v>308</v>
      </c>
      <c r="E144" s="6">
        <v>0</v>
      </c>
      <c r="F144" s="6">
        <v>0</v>
      </c>
      <c r="G144" s="6">
        <v>0</v>
      </c>
      <c r="H144">
        <v>2023</v>
      </c>
    </row>
    <row r="145" spans="1:8">
      <c r="A145" t="s">
        <v>25</v>
      </c>
      <c r="B145" t="s">
        <v>24</v>
      </c>
      <c r="C145" t="s">
        <v>371</v>
      </c>
      <c r="D145" t="s">
        <v>372</v>
      </c>
      <c r="E145" s="6">
        <v>0</v>
      </c>
      <c r="F145" s="6">
        <v>0</v>
      </c>
      <c r="G145" s="6">
        <v>0</v>
      </c>
      <c r="H145">
        <v>2023</v>
      </c>
    </row>
    <row r="146" spans="1:8">
      <c r="A146" t="s">
        <v>25</v>
      </c>
      <c r="B146" t="s">
        <v>24</v>
      </c>
      <c r="C146" t="s">
        <v>369</v>
      </c>
      <c r="D146" t="s">
        <v>308</v>
      </c>
      <c r="E146" s="6">
        <v>20000</v>
      </c>
      <c r="F146" s="6">
        <v>0</v>
      </c>
      <c r="G146" s="6">
        <v>0</v>
      </c>
      <c r="H146">
        <v>2022</v>
      </c>
    </row>
    <row r="147" spans="1:8">
      <c r="A147" t="s">
        <v>25</v>
      </c>
      <c r="B147" t="s">
        <v>24</v>
      </c>
      <c r="C147" t="s">
        <v>370</v>
      </c>
      <c r="D147" t="s">
        <v>308</v>
      </c>
      <c r="E147" s="6">
        <v>0</v>
      </c>
      <c r="F147" s="6">
        <v>0</v>
      </c>
      <c r="G147" s="6">
        <v>0</v>
      </c>
      <c r="H147">
        <v>2022</v>
      </c>
    </row>
    <row r="148" spans="1:8">
      <c r="A148" t="s">
        <v>25</v>
      </c>
      <c r="B148" t="s">
        <v>24</v>
      </c>
      <c r="C148" t="s">
        <v>371</v>
      </c>
      <c r="D148" t="s">
        <v>372</v>
      </c>
      <c r="E148" s="6">
        <v>0</v>
      </c>
      <c r="F148" s="6">
        <v>0</v>
      </c>
      <c r="G148" s="6">
        <v>0</v>
      </c>
      <c r="H148">
        <v>2022</v>
      </c>
    </row>
    <row r="149" spans="1:8">
      <c r="A149" t="s">
        <v>25</v>
      </c>
      <c r="B149" t="s">
        <v>24</v>
      </c>
      <c r="C149" t="s">
        <v>369</v>
      </c>
      <c r="D149" t="s">
        <v>308</v>
      </c>
      <c r="E149" s="6">
        <v>28000</v>
      </c>
      <c r="F149" s="6">
        <v>0</v>
      </c>
      <c r="G149" s="6">
        <v>0</v>
      </c>
      <c r="H149">
        <v>2021</v>
      </c>
    </row>
    <row r="150" spans="1:8">
      <c r="A150" t="s">
        <v>25</v>
      </c>
      <c r="B150" t="s">
        <v>24</v>
      </c>
      <c r="C150" t="s">
        <v>370</v>
      </c>
      <c r="D150" t="s">
        <v>308</v>
      </c>
      <c r="E150" s="6">
        <v>0</v>
      </c>
      <c r="F150" s="6">
        <v>0</v>
      </c>
      <c r="G150" s="6">
        <v>0</v>
      </c>
      <c r="H150">
        <v>2021</v>
      </c>
    </row>
    <row r="151" spans="1:8">
      <c r="A151" t="s">
        <v>25</v>
      </c>
      <c r="B151" t="s">
        <v>24</v>
      </c>
      <c r="C151" t="s">
        <v>371</v>
      </c>
      <c r="D151" t="s">
        <v>372</v>
      </c>
      <c r="E151" s="6">
        <v>0</v>
      </c>
      <c r="F151" s="6">
        <v>0</v>
      </c>
      <c r="G151" s="6">
        <v>0</v>
      </c>
      <c r="H151">
        <v>2021</v>
      </c>
    </row>
    <row r="152" spans="1:8">
      <c r="A152" t="s">
        <v>25</v>
      </c>
      <c r="B152" t="s">
        <v>24</v>
      </c>
      <c r="C152" t="s">
        <v>369</v>
      </c>
      <c r="D152" t="s">
        <v>308</v>
      </c>
      <c r="E152" s="6">
        <v>17000</v>
      </c>
      <c r="F152" s="6">
        <v>0</v>
      </c>
      <c r="G152" s="6">
        <v>0</v>
      </c>
      <c r="H152">
        <v>2019</v>
      </c>
    </row>
    <row r="153" spans="1:8">
      <c r="A153" t="s">
        <v>25</v>
      </c>
      <c r="B153" t="s">
        <v>24</v>
      </c>
      <c r="C153" t="s">
        <v>370</v>
      </c>
      <c r="D153" t="s">
        <v>308</v>
      </c>
      <c r="E153" s="6">
        <v>0</v>
      </c>
      <c r="F153" s="6">
        <v>0</v>
      </c>
      <c r="G153" s="6">
        <v>0</v>
      </c>
      <c r="H153">
        <v>2019</v>
      </c>
    </row>
    <row r="154" spans="1:8">
      <c r="A154" t="s">
        <v>25</v>
      </c>
      <c r="B154" t="s">
        <v>24</v>
      </c>
      <c r="C154" t="s">
        <v>373</v>
      </c>
      <c r="D154" t="s">
        <v>308</v>
      </c>
      <c r="E154" s="6">
        <v>0</v>
      </c>
      <c r="F154" s="6">
        <v>0</v>
      </c>
      <c r="G154" s="6">
        <v>0</v>
      </c>
      <c r="H154">
        <v>2019</v>
      </c>
    </row>
    <row r="155" spans="1:8">
      <c r="A155" t="s">
        <v>29</v>
      </c>
      <c r="B155" t="s">
        <v>374</v>
      </c>
      <c r="C155" t="s">
        <v>375</v>
      </c>
      <c r="D155" t="s">
        <v>326</v>
      </c>
      <c r="E155" s="6">
        <v>0</v>
      </c>
      <c r="F155" s="6">
        <v>0</v>
      </c>
      <c r="G155" s="6">
        <v>0</v>
      </c>
      <c r="H155">
        <v>2023</v>
      </c>
    </row>
    <row r="156" spans="1:8">
      <c r="A156" t="s">
        <v>29</v>
      </c>
      <c r="B156" t="s">
        <v>374</v>
      </c>
      <c r="C156" t="s">
        <v>376</v>
      </c>
      <c r="D156" t="s">
        <v>326</v>
      </c>
      <c r="E156" s="6">
        <v>0</v>
      </c>
      <c r="F156" s="6">
        <v>0</v>
      </c>
      <c r="G156" s="6">
        <v>0</v>
      </c>
      <c r="H156">
        <v>2023</v>
      </c>
    </row>
    <row r="157" spans="1:8">
      <c r="A157" t="s">
        <v>29</v>
      </c>
      <c r="B157" t="s">
        <v>374</v>
      </c>
      <c r="C157" t="s">
        <v>377</v>
      </c>
      <c r="D157" t="s">
        <v>326</v>
      </c>
      <c r="E157" s="6">
        <v>0</v>
      </c>
      <c r="F157" s="6">
        <v>0</v>
      </c>
      <c r="G157" s="6">
        <v>0</v>
      </c>
      <c r="H157">
        <v>2023</v>
      </c>
    </row>
    <row r="158" spans="1:8">
      <c r="A158" t="s">
        <v>29</v>
      </c>
      <c r="B158" t="s">
        <v>374</v>
      </c>
      <c r="C158" t="s">
        <v>375</v>
      </c>
      <c r="D158" t="s">
        <v>326</v>
      </c>
      <c r="E158" s="6">
        <v>0</v>
      </c>
      <c r="F158" s="6">
        <v>0</v>
      </c>
      <c r="G158" s="6">
        <v>0</v>
      </c>
      <c r="H158">
        <v>2022</v>
      </c>
    </row>
    <row r="159" spans="1:8">
      <c r="A159" t="s">
        <v>29</v>
      </c>
      <c r="B159" t="s">
        <v>374</v>
      </c>
      <c r="C159" t="s">
        <v>376</v>
      </c>
      <c r="D159" t="s">
        <v>326</v>
      </c>
      <c r="E159" s="6">
        <v>0</v>
      </c>
      <c r="F159" s="6">
        <v>0</v>
      </c>
      <c r="G159" s="6">
        <v>0</v>
      </c>
      <c r="H159">
        <v>2022</v>
      </c>
    </row>
    <row r="160" spans="1:8">
      <c r="A160" t="s">
        <v>29</v>
      </c>
      <c r="B160" t="s">
        <v>374</v>
      </c>
      <c r="C160" t="s">
        <v>377</v>
      </c>
      <c r="D160" t="s">
        <v>326</v>
      </c>
      <c r="E160" s="6">
        <v>0</v>
      </c>
      <c r="F160" s="6">
        <v>0</v>
      </c>
      <c r="G160" s="6">
        <v>0</v>
      </c>
      <c r="H160">
        <v>2022</v>
      </c>
    </row>
    <row r="161" spans="1:8">
      <c r="A161" t="s">
        <v>29</v>
      </c>
      <c r="B161" t="s">
        <v>374</v>
      </c>
      <c r="C161" t="s">
        <v>375</v>
      </c>
      <c r="D161" t="s">
        <v>326</v>
      </c>
      <c r="E161" s="6">
        <v>0</v>
      </c>
      <c r="F161" s="6">
        <v>0</v>
      </c>
      <c r="G161" s="6">
        <v>0</v>
      </c>
      <c r="H161">
        <v>2021</v>
      </c>
    </row>
    <row r="162" spans="1:8">
      <c r="A162" t="s">
        <v>29</v>
      </c>
      <c r="B162" t="s">
        <v>374</v>
      </c>
      <c r="C162" t="s">
        <v>376</v>
      </c>
      <c r="D162" t="s">
        <v>326</v>
      </c>
      <c r="E162" s="6">
        <v>0</v>
      </c>
      <c r="F162" s="6">
        <v>0</v>
      </c>
      <c r="G162" s="6">
        <v>0</v>
      </c>
      <c r="H162">
        <v>2021</v>
      </c>
    </row>
    <row r="163" spans="1:8">
      <c r="A163" t="s">
        <v>29</v>
      </c>
      <c r="B163" t="s">
        <v>374</v>
      </c>
      <c r="C163" t="s">
        <v>377</v>
      </c>
      <c r="D163" t="s">
        <v>326</v>
      </c>
      <c r="E163" s="6">
        <v>0</v>
      </c>
      <c r="F163" s="6">
        <v>0</v>
      </c>
      <c r="G163" s="6">
        <v>0</v>
      </c>
      <c r="H163">
        <v>2021</v>
      </c>
    </row>
    <row r="164" spans="1:8">
      <c r="A164" t="s">
        <v>29</v>
      </c>
      <c r="B164" t="s">
        <v>374</v>
      </c>
      <c r="C164" t="s">
        <v>375</v>
      </c>
      <c r="D164" t="s">
        <v>326</v>
      </c>
      <c r="E164" s="6">
        <v>0</v>
      </c>
      <c r="F164" s="6">
        <v>0</v>
      </c>
      <c r="G164" s="6">
        <v>0</v>
      </c>
      <c r="H164">
        <v>2020</v>
      </c>
    </row>
    <row r="165" spans="1:8">
      <c r="A165" t="s">
        <v>29</v>
      </c>
      <c r="B165" t="s">
        <v>374</v>
      </c>
      <c r="C165" t="s">
        <v>376</v>
      </c>
      <c r="D165" t="s">
        <v>326</v>
      </c>
      <c r="E165" s="6">
        <v>0</v>
      </c>
      <c r="F165" s="6">
        <v>0</v>
      </c>
      <c r="G165" s="6">
        <v>0</v>
      </c>
      <c r="H165">
        <v>2020</v>
      </c>
    </row>
    <row r="166" spans="1:8">
      <c r="A166" t="s">
        <v>29</v>
      </c>
      <c r="B166" t="s">
        <v>374</v>
      </c>
      <c r="C166" t="s">
        <v>377</v>
      </c>
      <c r="D166" t="s">
        <v>326</v>
      </c>
      <c r="E166" s="6">
        <v>0</v>
      </c>
      <c r="F166" s="6">
        <v>0</v>
      </c>
      <c r="G166" s="6">
        <v>0</v>
      </c>
      <c r="H166">
        <v>2020</v>
      </c>
    </row>
    <row r="167" spans="1:8">
      <c r="A167" t="s">
        <v>29</v>
      </c>
      <c r="B167" t="s">
        <v>374</v>
      </c>
      <c r="C167" t="s">
        <v>375</v>
      </c>
      <c r="D167" t="s">
        <v>326</v>
      </c>
      <c r="E167" s="6">
        <v>0</v>
      </c>
      <c r="F167" s="6">
        <v>0</v>
      </c>
      <c r="G167" s="6">
        <v>0</v>
      </c>
      <c r="H167">
        <v>2019</v>
      </c>
    </row>
    <row r="168" spans="1:8">
      <c r="A168" t="s">
        <v>29</v>
      </c>
      <c r="B168" t="s">
        <v>374</v>
      </c>
      <c r="C168" t="s">
        <v>376</v>
      </c>
      <c r="D168" t="s">
        <v>326</v>
      </c>
      <c r="E168" s="6">
        <v>0</v>
      </c>
      <c r="F168" s="6">
        <v>0</v>
      </c>
      <c r="G168" s="6">
        <v>0</v>
      </c>
      <c r="H168">
        <v>2019</v>
      </c>
    </row>
    <row r="169" spans="1:8">
      <c r="A169" t="s">
        <v>29</v>
      </c>
      <c r="B169" t="s">
        <v>374</v>
      </c>
      <c r="C169" t="s">
        <v>377</v>
      </c>
      <c r="D169" t="s">
        <v>326</v>
      </c>
      <c r="E169" s="6">
        <v>0</v>
      </c>
      <c r="F169" s="6">
        <v>0</v>
      </c>
      <c r="G169" s="6">
        <v>0</v>
      </c>
      <c r="H169">
        <v>2019</v>
      </c>
    </row>
    <row r="170" spans="1:8">
      <c r="A170" t="s">
        <v>32</v>
      </c>
      <c r="B170" t="s">
        <v>378</v>
      </c>
      <c r="C170" t="s">
        <v>379</v>
      </c>
      <c r="E170" s="6">
        <v>71798</v>
      </c>
      <c r="F170" s="6">
        <v>0</v>
      </c>
      <c r="G170" s="6">
        <v>0</v>
      </c>
      <c r="H170">
        <v>2023</v>
      </c>
    </row>
    <row r="171" spans="1:8">
      <c r="A171" t="s">
        <v>32</v>
      </c>
      <c r="B171" t="s">
        <v>378</v>
      </c>
      <c r="C171" t="s">
        <v>380</v>
      </c>
      <c r="D171" t="s">
        <v>306</v>
      </c>
      <c r="E171" s="6">
        <v>69300</v>
      </c>
      <c r="F171" s="6">
        <v>0</v>
      </c>
      <c r="G171" s="6">
        <v>0</v>
      </c>
      <c r="H171">
        <v>2023</v>
      </c>
    </row>
    <row r="172" spans="1:8">
      <c r="A172" t="s">
        <v>32</v>
      </c>
      <c r="B172" t="s">
        <v>378</v>
      </c>
      <c r="C172" t="s">
        <v>381</v>
      </c>
      <c r="E172" s="6">
        <v>67678</v>
      </c>
      <c r="F172" s="6">
        <v>0</v>
      </c>
      <c r="G172" s="6">
        <v>0</v>
      </c>
      <c r="H172">
        <v>2023</v>
      </c>
    </row>
    <row r="173" spans="1:8">
      <c r="A173" t="s">
        <v>32</v>
      </c>
      <c r="B173" t="s">
        <v>378</v>
      </c>
      <c r="C173" t="s">
        <v>380</v>
      </c>
      <c r="D173" t="s">
        <v>306</v>
      </c>
      <c r="E173" s="6">
        <v>52800</v>
      </c>
      <c r="F173" s="6">
        <v>0</v>
      </c>
      <c r="G173" s="6">
        <v>0</v>
      </c>
      <c r="H173">
        <v>2022</v>
      </c>
    </row>
    <row r="174" spans="1:8">
      <c r="A174" t="s">
        <v>32</v>
      </c>
      <c r="B174" t="s">
        <v>378</v>
      </c>
      <c r="C174" t="s">
        <v>382</v>
      </c>
      <c r="E174" s="6">
        <v>48000</v>
      </c>
      <c r="F174" s="6">
        <v>0</v>
      </c>
      <c r="G174" s="6">
        <v>0</v>
      </c>
      <c r="H174">
        <v>2022</v>
      </c>
    </row>
    <row r="175" spans="1:8">
      <c r="A175" t="s">
        <v>32</v>
      </c>
      <c r="B175" t="s">
        <v>378</v>
      </c>
      <c r="C175" t="s">
        <v>383</v>
      </c>
      <c r="E175" s="6">
        <v>35900</v>
      </c>
      <c r="F175" s="6">
        <v>0</v>
      </c>
      <c r="G175" s="6">
        <v>0</v>
      </c>
      <c r="H175">
        <v>2022</v>
      </c>
    </row>
    <row r="176" spans="1:8">
      <c r="A176" t="s">
        <v>32</v>
      </c>
      <c r="B176" t="s">
        <v>378</v>
      </c>
      <c r="C176" t="s">
        <v>380</v>
      </c>
      <c r="D176" t="s">
        <v>326</v>
      </c>
      <c r="E176" s="6">
        <v>57200</v>
      </c>
      <c r="F176" s="6">
        <v>0</v>
      </c>
      <c r="G176" s="6">
        <v>0</v>
      </c>
      <c r="H176">
        <v>2021</v>
      </c>
    </row>
    <row r="177" spans="1:8">
      <c r="A177" t="s">
        <v>32</v>
      </c>
      <c r="B177" t="s">
        <v>378</v>
      </c>
      <c r="C177" t="s">
        <v>383</v>
      </c>
      <c r="D177" t="s">
        <v>310</v>
      </c>
      <c r="E177" s="6">
        <v>36000</v>
      </c>
      <c r="F177" s="6">
        <v>0</v>
      </c>
      <c r="G177" s="6">
        <v>0</v>
      </c>
      <c r="H177">
        <v>2021</v>
      </c>
    </row>
    <row r="178" spans="1:8">
      <c r="A178" t="s">
        <v>32</v>
      </c>
      <c r="B178" t="s">
        <v>378</v>
      </c>
      <c r="C178" t="s">
        <v>384</v>
      </c>
      <c r="D178" t="s">
        <v>366</v>
      </c>
      <c r="E178" s="6">
        <v>0</v>
      </c>
      <c r="F178" s="6">
        <v>0</v>
      </c>
      <c r="G178" s="6">
        <v>0</v>
      </c>
      <c r="H178">
        <v>2021</v>
      </c>
    </row>
    <row r="179" spans="1:8">
      <c r="A179" t="s">
        <v>32</v>
      </c>
      <c r="B179" t="s">
        <v>378</v>
      </c>
      <c r="C179" t="s">
        <v>380</v>
      </c>
      <c r="D179" t="s">
        <v>326</v>
      </c>
      <c r="E179" s="6">
        <v>53018</v>
      </c>
      <c r="F179" s="6">
        <v>0</v>
      </c>
      <c r="G179" s="6">
        <v>0</v>
      </c>
      <c r="H179">
        <v>2020</v>
      </c>
    </row>
    <row r="180" spans="1:8">
      <c r="A180" t="s">
        <v>32</v>
      </c>
      <c r="B180" t="s">
        <v>378</v>
      </c>
      <c r="C180" t="s">
        <v>385</v>
      </c>
      <c r="D180" t="s">
        <v>366</v>
      </c>
      <c r="E180" s="6">
        <v>0</v>
      </c>
      <c r="F180" s="6">
        <v>0</v>
      </c>
      <c r="G180" s="6">
        <v>0</v>
      </c>
      <c r="H180">
        <v>2020</v>
      </c>
    </row>
    <row r="181" spans="1:8">
      <c r="A181" t="s">
        <v>32</v>
      </c>
      <c r="B181" t="s">
        <v>378</v>
      </c>
      <c r="C181" t="s">
        <v>386</v>
      </c>
      <c r="D181" t="s">
        <v>326</v>
      </c>
      <c r="E181" s="6">
        <v>0</v>
      </c>
      <c r="F181" s="6">
        <v>0</v>
      </c>
      <c r="G181" s="6">
        <v>0</v>
      </c>
      <c r="H181">
        <v>2020</v>
      </c>
    </row>
    <row r="182" spans="1:8">
      <c r="A182" t="s">
        <v>32</v>
      </c>
      <c r="B182" t="s">
        <v>378</v>
      </c>
      <c r="C182" t="s">
        <v>380</v>
      </c>
      <c r="D182" t="s">
        <v>310</v>
      </c>
      <c r="E182" s="6">
        <v>8200</v>
      </c>
      <c r="F182" s="6">
        <v>0</v>
      </c>
      <c r="G182" s="6">
        <v>0</v>
      </c>
      <c r="H182">
        <v>2019</v>
      </c>
    </row>
    <row r="183" spans="1:8">
      <c r="A183" t="s">
        <v>35</v>
      </c>
      <c r="B183" t="s">
        <v>387</v>
      </c>
      <c r="C183" t="s">
        <v>388</v>
      </c>
      <c r="D183" t="s">
        <v>326</v>
      </c>
      <c r="E183" s="6">
        <v>0</v>
      </c>
      <c r="F183" s="6">
        <v>0</v>
      </c>
      <c r="G183" s="6">
        <v>0</v>
      </c>
      <c r="H183">
        <v>2023</v>
      </c>
    </row>
    <row r="184" spans="1:8">
      <c r="A184" t="s">
        <v>35</v>
      </c>
      <c r="B184" t="s">
        <v>387</v>
      </c>
      <c r="C184" t="s">
        <v>389</v>
      </c>
      <c r="D184" t="s">
        <v>326</v>
      </c>
      <c r="E184" s="6">
        <v>0</v>
      </c>
      <c r="F184" s="6">
        <v>0</v>
      </c>
      <c r="G184" s="6">
        <v>0</v>
      </c>
      <c r="H184">
        <v>2023</v>
      </c>
    </row>
    <row r="185" spans="1:8">
      <c r="A185" t="s">
        <v>35</v>
      </c>
      <c r="B185" t="s">
        <v>387</v>
      </c>
      <c r="C185" t="s">
        <v>390</v>
      </c>
      <c r="D185" t="s">
        <v>326</v>
      </c>
      <c r="E185" s="6">
        <v>0</v>
      </c>
      <c r="F185" s="6">
        <v>0</v>
      </c>
      <c r="G185" s="6">
        <v>0</v>
      </c>
      <c r="H185">
        <v>2023</v>
      </c>
    </row>
    <row r="186" spans="1:8">
      <c r="A186" t="s">
        <v>35</v>
      </c>
      <c r="B186" t="s">
        <v>387</v>
      </c>
      <c r="C186" t="s">
        <v>388</v>
      </c>
      <c r="D186" t="s">
        <v>326</v>
      </c>
      <c r="E186" s="6">
        <v>0</v>
      </c>
      <c r="F186" s="6">
        <v>0</v>
      </c>
      <c r="G186" s="6">
        <v>0</v>
      </c>
      <c r="H186">
        <v>2022</v>
      </c>
    </row>
    <row r="187" spans="1:8">
      <c r="A187" t="s">
        <v>35</v>
      </c>
      <c r="B187" t="s">
        <v>387</v>
      </c>
      <c r="C187" t="s">
        <v>391</v>
      </c>
      <c r="D187" t="s">
        <v>326</v>
      </c>
      <c r="E187" s="6">
        <v>0</v>
      </c>
      <c r="F187" s="6">
        <v>0</v>
      </c>
      <c r="G187" s="6">
        <v>0</v>
      </c>
      <c r="H187">
        <v>2022</v>
      </c>
    </row>
    <row r="188" spans="1:8">
      <c r="A188" t="s">
        <v>35</v>
      </c>
      <c r="B188" t="s">
        <v>387</v>
      </c>
      <c r="C188" t="s">
        <v>392</v>
      </c>
      <c r="D188" t="s">
        <v>326</v>
      </c>
      <c r="E188" s="6">
        <v>0</v>
      </c>
      <c r="F188" s="6">
        <v>0</v>
      </c>
      <c r="G188" s="6">
        <v>0</v>
      </c>
      <c r="H188">
        <v>2022</v>
      </c>
    </row>
    <row r="189" spans="1:8">
      <c r="A189" t="s">
        <v>35</v>
      </c>
      <c r="B189" t="s">
        <v>387</v>
      </c>
      <c r="C189" t="s">
        <v>388</v>
      </c>
      <c r="D189" t="s">
        <v>326</v>
      </c>
      <c r="E189" s="6">
        <v>0</v>
      </c>
      <c r="F189" s="6">
        <v>0</v>
      </c>
      <c r="G189" s="6">
        <v>0</v>
      </c>
      <c r="H189">
        <v>2021</v>
      </c>
    </row>
    <row r="190" spans="1:8">
      <c r="A190" t="s">
        <v>35</v>
      </c>
      <c r="B190" t="s">
        <v>387</v>
      </c>
      <c r="C190" t="s">
        <v>391</v>
      </c>
      <c r="D190" t="s">
        <v>326</v>
      </c>
      <c r="E190" s="6">
        <v>0</v>
      </c>
      <c r="F190" s="6">
        <v>0</v>
      </c>
      <c r="G190" s="6">
        <v>0</v>
      </c>
      <c r="H190">
        <v>2021</v>
      </c>
    </row>
    <row r="191" spans="1:8">
      <c r="A191" t="s">
        <v>35</v>
      </c>
      <c r="B191" t="s">
        <v>387</v>
      </c>
      <c r="C191" t="s">
        <v>392</v>
      </c>
      <c r="D191" t="s">
        <v>326</v>
      </c>
      <c r="E191" s="6">
        <v>0</v>
      </c>
      <c r="F191" s="6">
        <v>0</v>
      </c>
      <c r="G191" s="6">
        <v>0</v>
      </c>
      <c r="H191">
        <v>2021</v>
      </c>
    </row>
    <row r="192" spans="1:8">
      <c r="A192" t="s">
        <v>35</v>
      </c>
      <c r="B192" t="s">
        <v>387</v>
      </c>
      <c r="C192" t="s">
        <v>388</v>
      </c>
      <c r="D192" t="s">
        <v>326</v>
      </c>
      <c r="E192" s="6">
        <v>0</v>
      </c>
      <c r="F192" s="6">
        <v>0</v>
      </c>
      <c r="G192" s="6">
        <v>0</v>
      </c>
      <c r="H192">
        <v>2020</v>
      </c>
    </row>
    <row r="193" spans="1:8">
      <c r="A193" t="s">
        <v>35</v>
      </c>
      <c r="B193" t="s">
        <v>387</v>
      </c>
      <c r="C193" t="s">
        <v>391</v>
      </c>
      <c r="D193" t="s">
        <v>326</v>
      </c>
      <c r="E193" s="6">
        <v>0</v>
      </c>
      <c r="F193" s="6">
        <v>0</v>
      </c>
      <c r="G193" s="6">
        <v>0</v>
      </c>
      <c r="H193">
        <v>2020</v>
      </c>
    </row>
    <row r="194" spans="1:8">
      <c r="A194" t="s">
        <v>35</v>
      </c>
      <c r="B194" t="s">
        <v>387</v>
      </c>
      <c r="C194" t="s">
        <v>392</v>
      </c>
      <c r="D194" t="s">
        <v>326</v>
      </c>
      <c r="E194" s="6">
        <v>0</v>
      </c>
      <c r="F194" s="6">
        <v>0</v>
      </c>
      <c r="G194" s="6">
        <v>0</v>
      </c>
      <c r="H194">
        <v>2020</v>
      </c>
    </row>
    <row r="195" spans="1:8">
      <c r="A195" t="s">
        <v>35</v>
      </c>
      <c r="B195" t="s">
        <v>387</v>
      </c>
      <c r="C195" t="s">
        <v>388</v>
      </c>
      <c r="D195" t="s">
        <v>326</v>
      </c>
      <c r="E195" s="6">
        <v>0</v>
      </c>
      <c r="F195" s="6">
        <v>0</v>
      </c>
      <c r="G195" s="6">
        <v>0</v>
      </c>
      <c r="H195">
        <v>2019</v>
      </c>
    </row>
    <row r="196" spans="1:8">
      <c r="A196" t="s">
        <v>35</v>
      </c>
      <c r="B196" t="s">
        <v>387</v>
      </c>
      <c r="C196" t="s">
        <v>391</v>
      </c>
      <c r="D196" t="s">
        <v>326</v>
      </c>
      <c r="E196" s="6">
        <v>0</v>
      </c>
      <c r="F196" s="6">
        <v>0</v>
      </c>
      <c r="G196" s="6">
        <v>0</v>
      </c>
      <c r="H196">
        <v>2019</v>
      </c>
    </row>
    <row r="197" spans="1:8">
      <c r="A197" t="s">
        <v>35</v>
      </c>
      <c r="B197" t="s">
        <v>387</v>
      </c>
      <c r="C197" t="s">
        <v>392</v>
      </c>
      <c r="D197" t="s">
        <v>326</v>
      </c>
      <c r="E197" s="6">
        <v>0</v>
      </c>
      <c r="F197" s="6">
        <v>0</v>
      </c>
      <c r="G197" s="6">
        <v>0</v>
      </c>
      <c r="H197">
        <v>2019</v>
      </c>
    </row>
    <row r="198" spans="1:8">
      <c r="A198" t="s">
        <v>38</v>
      </c>
      <c r="B198" t="s">
        <v>393</v>
      </c>
      <c r="C198" t="s">
        <v>394</v>
      </c>
      <c r="D198" t="s">
        <v>320</v>
      </c>
      <c r="E198" s="6">
        <v>0</v>
      </c>
      <c r="F198" s="6">
        <v>0</v>
      </c>
      <c r="G198" s="6">
        <v>0</v>
      </c>
      <c r="H198">
        <v>2022</v>
      </c>
    </row>
    <row r="199" spans="1:8">
      <c r="A199" t="s">
        <v>38</v>
      </c>
      <c r="B199" t="s">
        <v>393</v>
      </c>
      <c r="C199" t="s">
        <v>395</v>
      </c>
      <c r="D199" t="s">
        <v>326</v>
      </c>
      <c r="E199" s="6">
        <v>0</v>
      </c>
      <c r="F199" s="6">
        <v>0</v>
      </c>
      <c r="G199" s="6">
        <v>0</v>
      </c>
      <c r="H199">
        <v>2022</v>
      </c>
    </row>
    <row r="200" spans="1:8">
      <c r="A200" t="s">
        <v>38</v>
      </c>
      <c r="B200" t="s">
        <v>393</v>
      </c>
      <c r="C200" t="s">
        <v>396</v>
      </c>
      <c r="D200" t="s">
        <v>310</v>
      </c>
      <c r="E200" s="6">
        <v>0</v>
      </c>
      <c r="F200" s="6">
        <v>0</v>
      </c>
      <c r="G200" s="6">
        <v>0</v>
      </c>
      <c r="H200">
        <v>2022</v>
      </c>
    </row>
    <row r="201" spans="1:8">
      <c r="A201" t="s">
        <v>38</v>
      </c>
      <c r="B201" t="s">
        <v>393</v>
      </c>
      <c r="C201" t="s">
        <v>397</v>
      </c>
      <c r="D201" t="s">
        <v>320</v>
      </c>
      <c r="E201" s="6">
        <v>1739</v>
      </c>
      <c r="F201" s="6">
        <v>0</v>
      </c>
      <c r="G201" s="6">
        <v>0</v>
      </c>
      <c r="H201">
        <v>2021</v>
      </c>
    </row>
    <row r="202" spans="1:8">
      <c r="A202" t="s">
        <v>38</v>
      </c>
      <c r="B202" t="s">
        <v>393</v>
      </c>
      <c r="C202" t="s">
        <v>395</v>
      </c>
      <c r="D202" t="s">
        <v>324</v>
      </c>
      <c r="E202" s="6">
        <v>1739</v>
      </c>
      <c r="F202" s="6">
        <v>0</v>
      </c>
      <c r="G202" s="6">
        <v>0</v>
      </c>
      <c r="H202">
        <v>2021</v>
      </c>
    </row>
    <row r="203" spans="1:8">
      <c r="A203" t="s">
        <v>38</v>
      </c>
      <c r="B203" t="s">
        <v>393</v>
      </c>
      <c r="C203" t="s">
        <v>398</v>
      </c>
      <c r="D203" t="s">
        <v>310</v>
      </c>
      <c r="E203" s="6">
        <v>1739</v>
      </c>
      <c r="F203" s="6">
        <v>0</v>
      </c>
      <c r="G203" s="6">
        <v>0</v>
      </c>
      <c r="H203">
        <v>2021</v>
      </c>
    </row>
    <row r="204" spans="1:8">
      <c r="A204" t="s">
        <v>38</v>
      </c>
      <c r="B204" t="s">
        <v>393</v>
      </c>
      <c r="C204" t="s">
        <v>399</v>
      </c>
      <c r="D204" t="s">
        <v>315</v>
      </c>
      <c r="E204" s="6">
        <v>1440</v>
      </c>
      <c r="F204" s="6">
        <v>0</v>
      </c>
      <c r="G204" s="6">
        <v>0</v>
      </c>
      <c r="H204">
        <v>2020</v>
      </c>
    </row>
    <row r="205" spans="1:8">
      <c r="A205" t="s">
        <v>38</v>
      </c>
      <c r="B205" t="s">
        <v>393</v>
      </c>
      <c r="C205" t="s">
        <v>400</v>
      </c>
      <c r="D205" t="s">
        <v>326</v>
      </c>
      <c r="E205" s="6">
        <v>1440</v>
      </c>
      <c r="F205" s="6">
        <v>0</v>
      </c>
      <c r="G205" s="6">
        <v>0</v>
      </c>
      <c r="H205">
        <v>2020</v>
      </c>
    </row>
    <row r="206" spans="1:8">
      <c r="A206" t="s">
        <v>38</v>
      </c>
      <c r="B206" t="s">
        <v>393</v>
      </c>
      <c r="C206" t="s">
        <v>401</v>
      </c>
      <c r="D206" t="s">
        <v>324</v>
      </c>
      <c r="E206" s="6">
        <v>1440</v>
      </c>
      <c r="F206" s="6">
        <v>0</v>
      </c>
      <c r="G206" s="6">
        <v>0</v>
      </c>
      <c r="H206">
        <v>2020</v>
      </c>
    </row>
    <row r="207" spans="1:8">
      <c r="A207" t="s">
        <v>38</v>
      </c>
      <c r="B207" t="s">
        <v>393</v>
      </c>
      <c r="C207" t="s">
        <v>399</v>
      </c>
      <c r="D207" t="s">
        <v>315</v>
      </c>
      <c r="E207" s="6">
        <v>1440</v>
      </c>
      <c r="F207" s="6">
        <v>0</v>
      </c>
      <c r="G207" s="6">
        <v>0</v>
      </c>
      <c r="H207">
        <v>2019</v>
      </c>
    </row>
    <row r="208" spans="1:8">
      <c r="A208" t="s">
        <v>38</v>
      </c>
      <c r="B208" t="s">
        <v>393</v>
      </c>
      <c r="C208" t="s">
        <v>400</v>
      </c>
      <c r="D208" t="s">
        <v>326</v>
      </c>
      <c r="E208" s="6">
        <v>1440</v>
      </c>
      <c r="F208" s="6">
        <v>0</v>
      </c>
      <c r="G208" s="6">
        <v>0</v>
      </c>
      <c r="H208">
        <v>2019</v>
      </c>
    </row>
    <row r="209" spans="1:8">
      <c r="A209" t="s">
        <v>38</v>
      </c>
      <c r="B209" t="s">
        <v>393</v>
      </c>
      <c r="C209" t="s">
        <v>401</v>
      </c>
      <c r="D209" t="s">
        <v>324</v>
      </c>
      <c r="E209" s="6">
        <v>1440</v>
      </c>
      <c r="F209" s="6">
        <v>0</v>
      </c>
      <c r="G209" s="6">
        <v>0</v>
      </c>
      <c r="H209">
        <v>2019</v>
      </c>
    </row>
    <row r="210" spans="1:8">
      <c r="A210" t="s">
        <v>40</v>
      </c>
      <c r="B210" t="s">
        <v>402</v>
      </c>
      <c r="C210" t="s">
        <v>403</v>
      </c>
      <c r="D210" t="s">
        <v>404</v>
      </c>
      <c r="E210" s="6">
        <v>0</v>
      </c>
      <c r="F210" s="6">
        <v>0</v>
      </c>
      <c r="G210" s="6">
        <v>0</v>
      </c>
      <c r="H210">
        <v>2023</v>
      </c>
    </row>
    <row r="211" spans="1:8">
      <c r="A211" t="s">
        <v>40</v>
      </c>
      <c r="B211" t="s">
        <v>402</v>
      </c>
      <c r="C211" t="s">
        <v>405</v>
      </c>
      <c r="D211" t="s">
        <v>404</v>
      </c>
      <c r="E211" s="6">
        <v>0</v>
      </c>
      <c r="F211" s="6">
        <v>0</v>
      </c>
      <c r="G211" s="6">
        <v>0</v>
      </c>
      <c r="H211">
        <v>2023</v>
      </c>
    </row>
    <row r="212" spans="1:8">
      <c r="A212" t="s">
        <v>40</v>
      </c>
      <c r="B212" t="s">
        <v>402</v>
      </c>
      <c r="C212" t="s">
        <v>406</v>
      </c>
      <c r="D212" t="s">
        <v>407</v>
      </c>
      <c r="E212" s="6">
        <v>0</v>
      </c>
      <c r="F212" s="6">
        <v>0</v>
      </c>
      <c r="G212" s="6">
        <v>0</v>
      </c>
      <c r="H212">
        <v>2023</v>
      </c>
    </row>
    <row r="213" spans="1:8">
      <c r="A213" t="s">
        <v>40</v>
      </c>
      <c r="B213" t="s">
        <v>402</v>
      </c>
      <c r="C213" t="s">
        <v>408</v>
      </c>
      <c r="D213" t="s">
        <v>372</v>
      </c>
      <c r="E213" s="6">
        <v>0</v>
      </c>
      <c r="F213" s="6">
        <v>0</v>
      </c>
      <c r="G213" s="6">
        <v>0</v>
      </c>
      <c r="H213">
        <v>2022</v>
      </c>
    </row>
    <row r="214" spans="1:8">
      <c r="A214" t="s">
        <v>40</v>
      </c>
      <c r="B214" t="s">
        <v>402</v>
      </c>
      <c r="C214" t="s">
        <v>409</v>
      </c>
      <c r="D214" t="s">
        <v>404</v>
      </c>
      <c r="E214" s="6">
        <v>0</v>
      </c>
      <c r="F214" s="6">
        <v>0</v>
      </c>
      <c r="G214" s="6">
        <v>0</v>
      </c>
      <c r="H214">
        <v>2022</v>
      </c>
    </row>
    <row r="215" spans="1:8">
      <c r="A215" t="s">
        <v>40</v>
      </c>
      <c r="B215" t="s">
        <v>402</v>
      </c>
      <c r="C215" t="s">
        <v>410</v>
      </c>
      <c r="D215" t="s">
        <v>411</v>
      </c>
      <c r="E215" s="6">
        <v>0</v>
      </c>
      <c r="F215" s="6">
        <v>0</v>
      </c>
      <c r="G215" s="6">
        <v>0</v>
      </c>
      <c r="H215">
        <v>2022</v>
      </c>
    </row>
    <row r="216" spans="1:8">
      <c r="A216" t="s">
        <v>40</v>
      </c>
      <c r="B216" t="s">
        <v>402</v>
      </c>
      <c r="C216" t="s">
        <v>408</v>
      </c>
      <c r="D216" t="s">
        <v>372</v>
      </c>
      <c r="E216" s="6">
        <v>0</v>
      </c>
      <c r="F216" s="6">
        <v>0</v>
      </c>
      <c r="G216" s="6">
        <v>0</v>
      </c>
      <c r="H216">
        <v>2021</v>
      </c>
    </row>
    <row r="217" spans="1:8">
      <c r="A217" t="s">
        <v>40</v>
      </c>
      <c r="B217" t="s">
        <v>402</v>
      </c>
      <c r="C217" t="s">
        <v>409</v>
      </c>
      <c r="D217" t="s">
        <v>404</v>
      </c>
      <c r="E217" s="6">
        <v>0</v>
      </c>
      <c r="F217" s="6">
        <v>0</v>
      </c>
      <c r="G217" s="6">
        <v>0</v>
      </c>
      <c r="H217">
        <v>2021</v>
      </c>
    </row>
    <row r="218" spans="1:8">
      <c r="A218" t="s">
        <v>40</v>
      </c>
      <c r="B218" t="s">
        <v>402</v>
      </c>
      <c r="C218" t="s">
        <v>410</v>
      </c>
      <c r="D218" t="s">
        <v>411</v>
      </c>
      <c r="E218" s="6">
        <v>0</v>
      </c>
      <c r="F218" s="6">
        <v>0</v>
      </c>
      <c r="G218" s="6">
        <v>0</v>
      </c>
      <c r="H218">
        <v>2021</v>
      </c>
    </row>
    <row r="219" spans="1:8">
      <c r="A219" t="s">
        <v>40</v>
      </c>
      <c r="B219" t="s">
        <v>402</v>
      </c>
      <c r="C219" t="s">
        <v>412</v>
      </c>
      <c r="D219" t="s">
        <v>372</v>
      </c>
      <c r="E219" s="6">
        <v>0</v>
      </c>
      <c r="F219" s="6">
        <v>0</v>
      </c>
      <c r="G219" s="6">
        <v>0</v>
      </c>
      <c r="H219">
        <v>2020</v>
      </c>
    </row>
    <row r="220" spans="1:8">
      <c r="A220" t="s">
        <v>40</v>
      </c>
      <c r="B220" t="s">
        <v>402</v>
      </c>
      <c r="C220" t="s">
        <v>408</v>
      </c>
      <c r="D220" t="s">
        <v>404</v>
      </c>
      <c r="E220" s="6">
        <v>0</v>
      </c>
      <c r="F220" s="6">
        <v>0</v>
      </c>
      <c r="G220" s="6">
        <v>0</v>
      </c>
      <c r="H220">
        <v>2020</v>
      </c>
    </row>
    <row r="221" spans="1:8">
      <c r="A221" t="s">
        <v>40</v>
      </c>
      <c r="B221" t="s">
        <v>402</v>
      </c>
      <c r="C221" t="s">
        <v>409</v>
      </c>
      <c r="D221" t="s">
        <v>411</v>
      </c>
      <c r="E221" s="6">
        <v>0</v>
      </c>
      <c r="F221" s="6">
        <v>0</v>
      </c>
      <c r="G221" s="6">
        <v>0</v>
      </c>
      <c r="H221">
        <v>2020</v>
      </c>
    </row>
    <row r="222" spans="1:8">
      <c r="A222" t="s">
        <v>40</v>
      </c>
      <c r="B222" t="s">
        <v>402</v>
      </c>
      <c r="C222" t="s">
        <v>413</v>
      </c>
      <c r="D222" t="s">
        <v>372</v>
      </c>
      <c r="E222" s="6">
        <v>0</v>
      </c>
      <c r="F222" s="6">
        <v>0</v>
      </c>
      <c r="G222" s="6">
        <v>0</v>
      </c>
      <c r="H222">
        <v>2019</v>
      </c>
    </row>
    <row r="223" spans="1:8">
      <c r="A223" t="s">
        <v>40</v>
      </c>
      <c r="B223" t="s">
        <v>402</v>
      </c>
      <c r="C223" t="s">
        <v>414</v>
      </c>
      <c r="D223" t="s">
        <v>411</v>
      </c>
      <c r="E223" s="6">
        <v>0</v>
      </c>
      <c r="F223" s="6">
        <v>0</v>
      </c>
      <c r="G223" s="6">
        <v>0</v>
      </c>
      <c r="H223">
        <v>2019</v>
      </c>
    </row>
    <row r="224" spans="1:8">
      <c r="A224" t="s">
        <v>40</v>
      </c>
      <c r="B224" t="s">
        <v>402</v>
      </c>
      <c r="C224" t="s">
        <v>412</v>
      </c>
      <c r="D224" t="s">
        <v>315</v>
      </c>
      <c r="E224" s="6">
        <v>0</v>
      </c>
      <c r="F224" s="6">
        <v>0</v>
      </c>
      <c r="G224" s="6">
        <v>0</v>
      </c>
      <c r="H224">
        <v>2019</v>
      </c>
    </row>
    <row r="225" spans="1:8">
      <c r="A225" t="s">
        <v>42</v>
      </c>
      <c r="B225" t="s">
        <v>41</v>
      </c>
      <c r="C225" t="s">
        <v>415</v>
      </c>
      <c r="D225" t="s">
        <v>320</v>
      </c>
      <c r="E225" s="6">
        <v>0</v>
      </c>
      <c r="F225" s="6">
        <v>0</v>
      </c>
      <c r="G225" s="6">
        <v>0</v>
      </c>
      <c r="H225">
        <v>2023</v>
      </c>
    </row>
    <row r="226" spans="1:8">
      <c r="A226" t="s">
        <v>42</v>
      </c>
      <c r="B226" t="s">
        <v>41</v>
      </c>
      <c r="C226" t="s">
        <v>416</v>
      </c>
      <c r="D226" t="s">
        <v>417</v>
      </c>
      <c r="E226" s="6">
        <v>0</v>
      </c>
      <c r="F226" s="6">
        <v>0</v>
      </c>
      <c r="G226" s="6">
        <v>0</v>
      </c>
      <c r="H226">
        <v>2023</v>
      </c>
    </row>
    <row r="227" spans="1:8">
      <c r="A227" t="s">
        <v>42</v>
      </c>
      <c r="B227" t="s">
        <v>41</v>
      </c>
      <c r="C227" t="s">
        <v>418</v>
      </c>
      <c r="D227" t="s">
        <v>315</v>
      </c>
      <c r="E227" s="6">
        <v>0</v>
      </c>
      <c r="F227" s="6">
        <v>0</v>
      </c>
      <c r="G227" s="6">
        <v>0</v>
      </c>
      <c r="H227">
        <v>2023</v>
      </c>
    </row>
    <row r="228" spans="1:8">
      <c r="A228" t="s">
        <v>42</v>
      </c>
      <c r="B228" t="s">
        <v>41</v>
      </c>
      <c r="C228" t="s">
        <v>419</v>
      </c>
      <c r="D228" t="s">
        <v>326</v>
      </c>
      <c r="E228" s="6">
        <v>0</v>
      </c>
      <c r="F228" s="6">
        <v>0</v>
      </c>
      <c r="G228" s="6">
        <v>0</v>
      </c>
      <c r="H228">
        <v>2022</v>
      </c>
    </row>
    <row r="229" spans="1:8">
      <c r="A229" t="s">
        <v>42</v>
      </c>
      <c r="B229" t="s">
        <v>41</v>
      </c>
      <c r="C229" t="s">
        <v>420</v>
      </c>
      <c r="D229" t="s">
        <v>315</v>
      </c>
      <c r="E229" s="6">
        <v>0</v>
      </c>
      <c r="F229" s="6">
        <v>0</v>
      </c>
      <c r="G229" s="6">
        <v>0</v>
      </c>
      <c r="H229">
        <v>2022</v>
      </c>
    </row>
    <row r="230" spans="1:8">
      <c r="A230" t="s">
        <v>42</v>
      </c>
      <c r="B230" t="s">
        <v>41</v>
      </c>
      <c r="C230" t="s">
        <v>419</v>
      </c>
      <c r="D230" t="s">
        <v>308</v>
      </c>
      <c r="E230" s="6">
        <v>2</v>
      </c>
      <c r="F230" s="6">
        <v>0</v>
      </c>
      <c r="G230" s="6">
        <v>0</v>
      </c>
      <c r="H230">
        <v>2020</v>
      </c>
    </row>
    <row r="231" spans="1:8">
      <c r="A231" t="s">
        <v>42</v>
      </c>
      <c r="B231" t="s">
        <v>41</v>
      </c>
      <c r="C231" t="s">
        <v>415</v>
      </c>
      <c r="D231" t="s">
        <v>320</v>
      </c>
      <c r="E231" s="6">
        <v>0</v>
      </c>
      <c r="F231" s="6">
        <v>0</v>
      </c>
      <c r="G231" s="6">
        <v>0</v>
      </c>
      <c r="H231">
        <v>2020</v>
      </c>
    </row>
    <row r="232" spans="1:8">
      <c r="A232" t="s">
        <v>42</v>
      </c>
      <c r="B232" t="s">
        <v>41</v>
      </c>
      <c r="C232" t="s">
        <v>420</v>
      </c>
      <c r="D232" t="s">
        <v>421</v>
      </c>
      <c r="E232" s="6">
        <v>0</v>
      </c>
      <c r="F232" s="6">
        <v>0</v>
      </c>
      <c r="G232" s="6">
        <v>0</v>
      </c>
      <c r="H232">
        <v>2020</v>
      </c>
    </row>
    <row r="233" spans="1:8">
      <c r="A233" t="s">
        <v>46</v>
      </c>
      <c r="B233" t="s">
        <v>422</v>
      </c>
      <c r="C233" t="s">
        <v>423</v>
      </c>
      <c r="D233" t="s">
        <v>326</v>
      </c>
      <c r="E233" s="6">
        <v>0</v>
      </c>
      <c r="F233" s="6">
        <v>0</v>
      </c>
      <c r="G233" s="6">
        <v>0</v>
      </c>
      <c r="H233">
        <v>2023</v>
      </c>
    </row>
    <row r="234" spans="1:8">
      <c r="A234" t="s">
        <v>46</v>
      </c>
      <c r="B234" t="s">
        <v>422</v>
      </c>
      <c r="C234" t="s">
        <v>424</v>
      </c>
      <c r="D234" t="s">
        <v>326</v>
      </c>
      <c r="E234" s="6">
        <v>0</v>
      </c>
      <c r="F234" s="6">
        <v>0</v>
      </c>
      <c r="G234" s="6">
        <v>0</v>
      </c>
      <c r="H234">
        <v>2023</v>
      </c>
    </row>
    <row r="235" spans="1:8">
      <c r="A235" t="s">
        <v>46</v>
      </c>
      <c r="B235" t="s">
        <v>422</v>
      </c>
      <c r="C235" t="s">
        <v>425</v>
      </c>
      <c r="D235" t="s">
        <v>326</v>
      </c>
      <c r="E235" s="6">
        <v>0</v>
      </c>
      <c r="F235" s="6">
        <v>0</v>
      </c>
      <c r="G235" s="6">
        <v>0</v>
      </c>
      <c r="H235">
        <v>2023</v>
      </c>
    </row>
    <row r="236" spans="1:8">
      <c r="A236" t="s">
        <v>46</v>
      </c>
      <c r="B236" t="s">
        <v>426</v>
      </c>
      <c r="C236" t="s">
        <v>427</v>
      </c>
      <c r="D236" t="s">
        <v>326</v>
      </c>
      <c r="E236" s="6">
        <v>0</v>
      </c>
      <c r="F236" s="6">
        <v>0</v>
      </c>
      <c r="G236" s="6">
        <v>0</v>
      </c>
      <c r="H236">
        <v>2022</v>
      </c>
    </row>
    <row r="237" spans="1:8">
      <c r="A237" t="s">
        <v>46</v>
      </c>
      <c r="B237" t="s">
        <v>426</v>
      </c>
      <c r="C237" t="s">
        <v>428</v>
      </c>
      <c r="D237" t="s">
        <v>326</v>
      </c>
      <c r="E237" s="6">
        <v>0</v>
      </c>
      <c r="F237" s="6">
        <v>0</v>
      </c>
      <c r="G237" s="6">
        <v>0</v>
      </c>
      <c r="H237">
        <v>2022</v>
      </c>
    </row>
    <row r="238" spans="1:8">
      <c r="A238" t="s">
        <v>46</v>
      </c>
      <c r="B238" t="s">
        <v>429</v>
      </c>
      <c r="C238" t="s">
        <v>430</v>
      </c>
      <c r="D238" t="s">
        <v>306</v>
      </c>
      <c r="E238" s="6">
        <v>36960</v>
      </c>
      <c r="F238" s="6">
        <v>0</v>
      </c>
      <c r="G238" s="6">
        <v>0</v>
      </c>
      <c r="H238">
        <v>2021</v>
      </c>
    </row>
    <row r="239" spans="1:8">
      <c r="A239" t="s">
        <v>46</v>
      </c>
      <c r="B239" t="s">
        <v>429</v>
      </c>
      <c r="C239" t="s">
        <v>427</v>
      </c>
      <c r="D239" t="s">
        <v>326</v>
      </c>
      <c r="E239" s="6">
        <v>0</v>
      </c>
      <c r="F239" s="6">
        <v>0</v>
      </c>
      <c r="G239" s="6">
        <v>0</v>
      </c>
      <c r="H239">
        <v>2021</v>
      </c>
    </row>
    <row r="240" spans="1:8">
      <c r="A240" t="s">
        <v>46</v>
      </c>
      <c r="B240" t="s">
        <v>429</v>
      </c>
      <c r="C240" t="s">
        <v>428</v>
      </c>
      <c r="D240" t="s">
        <v>326</v>
      </c>
      <c r="E240" s="6">
        <v>0</v>
      </c>
      <c r="F240" s="6">
        <v>0</v>
      </c>
      <c r="G240" s="6">
        <v>0</v>
      </c>
      <c r="H240">
        <v>2021</v>
      </c>
    </row>
    <row r="241" spans="1:8">
      <c r="A241" t="s">
        <v>46</v>
      </c>
      <c r="B241" t="s">
        <v>429</v>
      </c>
      <c r="C241" t="s">
        <v>430</v>
      </c>
      <c r="D241" t="s">
        <v>306</v>
      </c>
      <c r="E241" s="6">
        <v>37100</v>
      </c>
      <c r="F241" s="6">
        <v>0</v>
      </c>
      <c r="G241" s="6">
        <v>0</v>
      </c>
      <c r="H241">
        <v>2020</v>
      </c>
    </row>
    <row r="242" spans="1:8">
      <c r="A242" t="s">
        <v>46</v>
      </c>
      <c r="B242" t="s">
        <v>429</v>
      </c>
      <c r="C242" t="s">
        <v>431</v>
      </c>
      <c r="D242" t="s">
        <v>326</v>
      </c>
      <c r="E242" s="6">
        <v>0</v>
      </c>
      <c r="F242" s="6">
        <v>0</v>
      </c>
      <c r="G242" s="6">
        <v>0</v>
      </c>
      <c r="H242">
        <v>2020</v>
      </c>
    </row>
    <row r="243" spans="1:8">
      <c r="A243" t="s">
        <v>46</v>
      </c>
      <c r="B243" t="s">
        <v>429</v>
      </c>
      <c r="C243" t="s">
        <v>427</v>
      </c>
      <c r="D243" t="s">
        <v>326</v>
      </c>
      <c r="E243" s="6">
        <v>0</v>
      </c>
      <c r="F243" s="6">
        <v>0</v>
      </c>
      <c r="G243" s="6">
        <v>0</v>
      </c>
      <c r="H243">
        <v>2020</v>
      </c>
    </row>
    <row r="244" spans="1:8">
      <c r="A244" t="s">
        <v>46</v>
      </c>
      <c r="B244" t="s">
        <v>422</v>
      </c>
      <c r="C244" t="s">
        <v>432</v>
      </c>
      <c r="D244" t="s">
        <v>326</v>
      </c>
      <c r="E244" s="6">
        <v>0</v>
      </c>
      <c r="F244" s="6">
        <v>0</v>
      </c>
      <c r="G244" s="6">
        <v>0</v>
      </c>
      <c r="H244">
        <v>2019</v>
      </c>
    </row>
    <row r="245" spans="1:8">
      <c r="A245" t="s">
        <v>46</v>
      </c>
      <c r="B245" t="s">
        <v>422</v>
      </c>
      <c r="C245" t="s">
        <v>433</v>
      </c>
      <c r="D245" t="s">
        <v>326</v>
      </c>
      <c r="E245" s="6">
        <v>0</v>
      </c>
      <c r="F245" s="6">
        <v>0</v>
      </c>
      <c r="G245" s="6">
        <v>0</v>
      </c>
      <c r="H245">
        <v>2019</v>
      </c>
    </row>
    <row r="246" spans="1:8">
      <c r="A246" t="s">
        <v>46</v>
      </c>
      <c r="B246" t="s">
        <v>422</v>
      </c>
      <c r="C246" t="s">
        <v>427</v>
      </c>
      <c r="D246" t="s">
        <v>326</v>
      </c>
      <c r="E246" s="6">
        <v>0</v>
      </c>
      <c r="F246" s="6">
        <v>0</v>
      </c>
      <c r="G246" s="6">
        <v>0</v>
      </c>
      <c r="H246">
        <v>2019</v>
      </c>
    </row>
    <row r="247" spans="1:8">
      <c r="A247" t="s">
        <v>48</v>
      </c>
      <c r="B247" t="s">
        <v>47</v>
      </c>
      <c r="C247" t="s">
        <v>434</v>
      </c>
      <c r="D247" t="s">
        <v>326</v>
      </c>
      <c r="E247" s="6">
        <v>0</v>
      </c>
      <c r="F247" s="6">
        <v>0</v>
      </c>
      <c r="G247" s="6">
        <v>0</v>
      </c>
      <c r="H247">
        <v>2022</v>
      </c>
    </row>
    <row r="248" spans="1:8">
      <c r="A248" t="s">
        <v>48</v>
      </c>
      <c r="B248" t="s">
        <v>47</v>
      </c>
      <c r="C248" t="s">
        <v>435</v>
      </c>
      <c r="D248" t="s">
        <v>326</v>
      </c>
      <c r="E248" s="6">
        <v>0</v>
      </c>
      <c r="F248" s="6">
        <v>0</v>
      </c>
      <c r="G248" s="6">
        <v>0</v>
      </c>
      <c r="H248">
        <v>2022</v>
      </c>
    </row>
    <row r="249" spans="1:8">
      <c r="A249" t="s">
        <v>48</v>
      </c>
      <c r="B249" t="s">
        <v>47</v>
      </c>
      <c r="C249" t="s">
        <v>436</v>
      </c>
      <c r="D249" t="s">
        <v>326</v>
      </c>
      <c r="E249" s="6">
        <v>0</v>
      </c>
      <c r="F249" s="6">
        <v>0</v>
      </c>
      <c r="G249" s="6">
        <v>0</v>
      </c>
      <c r="H249">
        <v>2022</v>
      </c>
    </row>
    <row r="250" spans="1:8">
      <c r="A250" t="s">
        <v>48</v>
      </c>
      <c r="B250" t="s">
        <v>47</v>
      </c>
      <c r="C250" t="s">
        <v>437</v>
      </c>
      <c r="D250" t="s">
        <v>320</v>
      </c>
      <c r="E250" s="6">
        <v>0</v>
      </c>
      <c r="F250" s="6">
        <v>0</v>
      </c>
      <c r="G250" s="6">
        <v>0</v>
      </c>
      <c r="H250">
        <v>2021</v>
      </c>
    </row>
    <row r="251" spans="1:8">
      <c r="A251" t="s">
        <v>48</v>
      </c>
      <c r="B251" t="s">
        <v>47</v>
      </c>
      <c r="C251" t="s">
        <v>434</v>
      </c>
      <c r="D251" t="s">
        <v>326</v>
      </c>
      <c r="E251" s="6">
        <v>0</v>
      </c>
      <c r="F251" s="6">
        <v>0</v>
      </c>
      <c r="G251" s="6">
        <v>0</v>
      </c>
      <c r="H251">
        <v>2021</v>
      </c>
    </row>
    <row r="252" spans="1:8">
      <c r="A252" t="s">
        <v>48</v>
      </c>
      <c r="B252" t="s">
        <v>47</v>
      </c>
      <c r="C252" t="s">
        <v>435</v>
      </c>
      <c r="D252" t="s">
        <v>326</v>
      </c>
      <c r="E252" s="6">
        <v>0</v>
      </c>
      <c r="F252" s="6">
        <v>0</v>
      </c>
      <c r="G252" s="6">
        <v>0</v>
      </c>
      <c r="H252">
        <v>2021</v>
      </c>
    </row>
    <row r="253" spans="1:8">
      <c r="A253" t="s">
        <v>48</v>
      </c>
      <c r="B253" t="s">
        <v>47</v>
      </c>
      <c r="C253" t="s">
        <v>437</v>
      </c>
      <c r="D253" t="s">
        <v>320</v>
      </c>
      <c r="E253" s="6">
        <v>0</v>
      </c>
      <c r="F253" s="6">
        <v>0</v>
      </c>
      <c r="G253" s="6">
        <v>0</v>
      </c>
      <c r="H253">
        <v>2020</v>
      </c>
    </row>
    <row r="254" spans="1:8">
      <c r="A254" t="s">
        <v>48</v>
      </c>
      <c r="B254" t="s">
        <v>47</v>
      </c>
      <c r="C254" t="s">
        <v>434</v>
      </c>
      <c r="D254" t="s">
        <v>326</v>
      </c>
      <c r="E254" s="6">
        <v>0</v>
      </c>
      <c r="F254" s="6">
        <v>0</v>
      </c>
      <c r="G254" s="6">
        <v>0</v>
      </c>
      <c r="H254">
        <v>2020</v>
      </c>
    </row>
    <row r="255" spans="1:8">
      <c r="A255" t="s">
        <v>48</v>
      </c>
      <c r="B255" t="s">
        <v>47</v>
      </c>
      <c r="C255" t="s">
        <v>435</v>
      </c>
      <c r="D255" t="s">
        <v>326</v>
      </c>
      <c r="E255" s="6">
        <v>0</v>
      </c>
      <c r="F255" s="6">
        <v>0</v>
      </c>
      <c r="G255" s="6">
        <v>0</v>
      </c>
      <c r="H255">
        <v>2020</v>
      </c>
    </row>
    <row r="256" spans="1:8">
      <c r="A256" t="s">
        <v>48</v>
      </c>
      <c r="B256" t="s">
        <v>47</v>
      </c>
      <c r="C256" t="s">
        <v>438</v>
      </c>
      <c r="D256" t="s">
        <v>320</v>
      </c>
      <c r="E256" s="6">
        <v>0</v>
      </c>
      <c r="F256" s="6">
        <v>0</v>
      </c>
      <c r="G256" s="6">
        <v>0</v>
      </c>
      <c r="H256">
        <v>2019</v>
      </c>
    </row>
    <row r="257" spans="1:8">
      <c r="A257" t="s">
        <v>48</v>
      </c>
      <c r="B257" t="s">
        <v>47</v>
      </c>
      <c r="C257" t="s">
        <v>439</v>
      </c>
      <c r="D257" t="s">
        <v>324</v>
      </c>
      <c r="E257" s="6">
        <v>0</v>
      </c>
      <c r="F257" s="6">
        <v>0</v>
      </c>
      <c r="G257" s="6">
        <v>0</v>
      </c>
      <c r="H257">
        <v>2019</v>
      </c>
    </row>
    <row r="258" spans="1:8">
      <c r="A258" t="s">
        <v>48</v>
      </c>
      <c r="B258" t="s">
        <v>47</v>
      </c>
      <c r="C258" t="s">
        <v>440</v>
      </c>
      <c r="D258" t="s">
        <v>326</v>
      </c>
      <c r="E258" s="6">
        <v>0</v>
      </c>
      <c r="F258" s="6">
        <v>0</v>
      </c>
      <c r="G258" s="6">
        <v>0</v>
      </c>
      <c r="H258">
        <v>2019</v>
      </c>
    </row>
    <row r="259" spans="1:8">
      <c r="A259" t="s">
        <v>51</v>
      </c>
      <c r="B259" t="s">
        <v>441</v>
      </c>
      <c r="C259" t="s">
        <v>442</v>
      </c>
      <c r="D259" t="s">
        <v>306</v>
      </c>
      <c r="E259" s="6">
        <v>82400</v>
      </c>
      <c r="F259" s="6">
        <v>0</v>
      </c>
      <c r="G259" s="6">
        <v>0</v>
      </c>
      <c r="H259">
        <v>2023</v>
      </c>
    </row>
    <row r="260" spans="1:8">
      <c r="A260" t="s">
        <v>51</v>
      </c>
      <c r="B260" t="s">
        <v>441</v>
      </c>
      <c r="C260" t="s">
        <v>443</v>
      </c>
      <c r="D260" t="s">
        <v>444</v>
      </c>
      <c r="E260" s="6">
        <v>0</v>
      </c>
      <c r="F260" s="6">
        <v>0</v>
      </c>
      <c r="G260" s="6">
        <v>0</v>
      </c>
      <c r="H260">
        <v>2023</v>
      </c>
    </row>
    <row r="261" spans="1:8">
      <c r="A261" t="s">
        <v>51</v>
      </c>
      <c r="B261" t="s">
        <v>441</v>
      </c>
      <c r="C261" t="s">
        <v>445</v>
      </c>
      <c r="D261" t="s">
        <v>315</v>
      </c>
      <c r="E261" s="6">
        <v>0</v>
      </c>
      <c r="F261" s="6">
        <v>0</v>
      </c>
      <c r="G261" s="6">
        <v>0</v>
      </c>
      <c r="H261">
        <v>2023</v>
      </c>
    </row>
    <row r="262" spans="1:8">
      <c r="A262" t="s">
        <v>51</v>
      </c>
      <c r="B262" t="s">
        <v>441</v>
      </c>
      <c r="C262" t="s">
        <v>442</v>
      </c>
      <c r="D262" t="s">
        <v>446</v>
      </c>
      <c r="E262" s="6">
        <v>44000</v>
      </c>
      <c r="F262" s="6">
        <v>0</v>
      </c>
      <c r="G262" s="6">
        <v>0</v>
      </c>
      <c r="H262">
        <v>2022</v>
      </c>
    </row>
    <row r="263" spans="1:8">
      <c r="A263" t="s">
        <v>51</v>
      </c>
      <c r="B263" t="s">
        <v>441</v>
      </c>
      <c r="C263" t="s">
        <v>443</v>
      </c>
      <c r="D263" t="s">
        <v>444</v>
      </c>
      <c r="E263" s="6">
        <v>0</v>
      </c>
      <c r="F263" s="6">
        <v>0</v>
      </c>
      <c r="G263" s="6">
        <v>0</v>
      </c>
      <c r="H263">
        <v>2022</v>
      </c>
    </row>
    <row r="264" spans="1:8">
      <c r="A264" t="s">
        <v>51</v>
      </c>
      <c r="B264" t="s">
        <v>441</v>
      </c>
      <c r="C264" t="s">
        <v>445</v>
      </c>
      <c r="D264" t="s">
        <v>315</v>
      </c>
      <c r="E264" s="6">
        <v>0</v>
      </c>
      <c r="F264" s="6">
        <v>0</v>
      </c>
      <c r="G264" s="6">
        <v>0</v>
      </c>
      <c r="H264">
        <v>2022</v>
      </c>
    </row>
    <row r="265" spans="1:8">
      <c r="A265" t="s">
        <v>51</v>
      </c>
      <c r="B265" t="s">
        <v>441</v>
      </c>
      <c r="C265" t="s">
        <v>442</v>
      </c>
      <c r="D265" t="s">
        <v>366</v>
      </c>
      <c r="E265" s="6">
        <v>48000</v>
      </c>
      <c r="F265" s="6">
        <v>0</v>
      </c>
      <c r="G265" s="6">
        <v>0</v>
      </c>
      <c r="H265">
        <v>2021</v>
      </c>
    </row>
    <row r="266" spans="1:8">
      <c r="A266" t="s">
        <v>51</v>
      </c>
      <c r="B266" t="s">
        <v>441</v>
      </c>
      <c r="C266" t="s">
        <v>443</v>
      </c>
      <c r="D266" t="s">
        <v>320</v>
      </c>
      <c r="E266" s="6">
        <v>0</v>
      </c>
      <c r="F266" s="6">
        <v>0</v>
      </c>
      <c r="G266" s="6">
        <v>0</v>
      </c>
      <c r="H266">
        <v>2021</v>
      </c>
    </row>
    <row r="267" spans="1:8">
      <c r="A267" t="s">
        <v>51</v>
      </c>
      <c r="B267" t="s">
        <v>441</v>
      </c>
      <c r="C267" t="s">
        <v>445</v>
      </c>
      <c r="D267" t="s">
        <v>315</v>
      </c>
      <c r="E267" s="6">
        <v>0</v>
      </c>
      <c r="F267" s="6">
        <v>0</v>
      </c>
      <c r="G267" s="6">
        <v>0</v>
      </c>
      <c r="H267">
        <v>2021</v>
      </c>
    </row>
    <row r="268" spans="1:8">
      <c r="A268" t="s">
        <v>51</v>
      </c>
      <c r="B268" t="s">
        <v>441</v>
      </c>
      <c r="C268" t="s">
        <v>442</v>
      </c>
      <c r="D268" t="s">
        <v>366</v>
      </c>
      <c r="E268" s="6">
        <v>48000</v>
      </c>
      <c r="F268" s="6">
        <v>0</v>
      </c>
      <c r="G268" s="6">
        <v>0</v>
      </c>
      <c r="H268">
        <v>2020</v>
      </c>
    </row>
    <row r="269" spans="1:8">
      <c r="A269" t="s">
        <v>51</v>
      </c>
      <c r="B269" t="s">
        <v>441</v>
      </c>
      <c r="C269" t="s">
        <v>443</v>
      </c>
      <c r="D269" t="s">
        <v>320</v>
      </c>
      <c r="E269" s="6">
        <v>0</v>
      </c>
      <c r="F269" s="6">
        <v>0</v>
      </c>
      <c r="G269" s="6">
        <v>0</v>
      </c>
      <c r="H269">
        <v>2020</v>
      </c>
    </row>
    <row r="270" spans="1:8">
      <c r="A270" t="s">
        <v>51</v>
      </c>
      <c r="B270" t="s">
        <v>441</v>
      </c>
      <c r="C270" t="s">
        <v>445</v>
      </c>
      <c r="D270" t="s">
        <v>315</v>
      </c>
      <c r="E270" s="6">
        <v>0</v>
      </c>
      <c r="F270" s="6">
        <v>0</v>
      </c>
      <c r="G270" s="6">
        <v>0</v>
      </c>
      <c r="H270">
        <v>2020</v>
      </c>
    </row>
    <row r="271" spans="1:8">
      <c r="A271" t="s">
        <v>54</v>
      </c>
      <c r="B271" t="s">
        <v>447</v>
      </c>
      <c r="C271" t="s">
        <v>448</v>
      </c>
      <c r="D271" t="s">
        <v>320</v>
      </c>
      <c r="E271" s="6">
        <v>0</v>
      </c>
      <c r="F271" s="6">
        <v>0</v>
      </c>
      <c r="G271" s="6">
        <v>0</v>
      </c>
      <c r="H271">
        <v>2023</v>
      </c>
    </row>
    <row r="272" spans="1:8">
      <c r="A272" t="s">
        <v>54</v>
      </c>
      <c r="B272" t="s">
        <v>447</v>
      </c>
      <c r="C272" t="s">
        <v>449</v>
      </c>
      <c r="D272" t="s">
        <v>324</v>
      </c>
      <c r="E272" s="6">
        <v>0</v>
      </c>
      <c r="F272" s="6">
        <v>0</v>
      </c>
      <c r="G272" s="6">
        <v>0</v>
      </c>
      <c r="H272">
        <v>2023</v>
      </c>
    </row>
    <row r="273" spans="1:8">
      <c r="A273" t="s">
        <v>54</v>
      </c>
      <c r="B273" t="s">
        <v>447</v>
      </c>
      <c r="C273" t="s">
        <v>450</v>
      </c>
      <c r="D273" t="s">
        <v>310</v>
      </c>
      <c r="E273" s="6">
        <v>0</v>
      </c>
      <c r="F273" s="6">
        <v>0</v>
      </c>
      <c r="G273" s="6">
        <v>0</v>
      </c>
      <c r="H273">
        <v>2023</v>
      </c>
    </row>
    <row r="274" spans="1:8">
      <c r="A274" t="s">
        <v>54</v>
      </c>
      <c r="B274" t="s">
        <v>447</v>
      </c>
      <c r="C274" t="s">
        <v>448</v>
      </c>
      <c r="D274" t="s">
        <v>320</v>
      </c>
      <c r="E274" s="6">
        <v>0</v>
      </c>
      <c r="F274" s="6">
        <v>0</v>
      </c>
      <c r="G274" s="6">
        <v>0</v>
      </c>
      <c r="H274">
        <v>2022</v>
      </c>
    </row>
    <row r="275" spans="1:8">
      <c r="A275" t="s">
        <v>54</v>
      </c>
      <c r="B275" t="s">
        <v>447</v>
      </c>
      <c r="C275" t="s">
        <v>451</v>
      </c>
      <c r="D275" t="s">
        <v>324</v>
      </c>
      <c r="E275" s="6">
        <v>0</v>
      </c>
      <c r="F275" s="6">
        <v>0</v>
      </c>
      <c r="G275" s="6">
        <v>0</v>
      </c>
      <c r="H275">
        <v>2022</v>
      </c>
    </row>
    <row r="276" spans="1:8">
      <c r="A276" t="s">
        <v>54</v>
      </c>
      <c r="B276" t="s">
        <v>447</v>
      </c>
      <c r="C276" t="s">
        <v>452</v>
      </c>
      <c r="D276" t="s">
        <v>310</v>
      </c>
      <c r="E276" s="6">
        <v>0</v>
      </c>
      <c r="F276" s="6">
        <v>0</v>
      </c>
      <c r="G276" s="6">
        <v>0</v>
      </c>
      <c r="H276">
        <v>2022</v>
      </c>
    </row>
    <row r="277" spans="1:8">
      <c r="A277" t="s">
        <v>54</v>
      </c>
      <c r="B277" t="s">
        <v>447</v>
      </c>
      <c r="C277" t="s">
        <v>453</v>
      </c>
      <c r="D277" t="s">
        <v>320</v>
      </c>
      <c r="E277" s="6">
        <v>0</v>
      </c>
      <c r="F277" s="6">
        <v>0</v>
      </c>
      <c r="G277" s="6">
        <v>0</v>
      </c>
      <c r="H277">
        <v>2021</v>
      </c>
    </row>
    <row r="278" spans="1:8">
      <c r="A278" t="s">
        <v>54</v>
      </c>
      <c r="B278" t="s">
        <v>447</v>
      </c>
      <c r="C278" t="s">
        <v>454</v>
      </c>
      <c r="D278" t="s">
        <v>324</v>
      </c>
      <c r="E278" s="6">
        <v>0</v>
      </c>
      <c r="F278" s="6">
        <v>0</v>
      </c>
      <c r="G278" s="6">
        <v>0</v>
      </c>
      <c r="H278">
        <v>2021</v>
      </c>
    </row>
    <row r="279" spans="1:8">
      <c r="A279" t="s">
        <v>54</v>
      </c>
      <c r="B279" t="s">
        <v>447</v>
      </c>
      <c r="C279" t="s">
        <v>455</v>
      </c>
      <c r="D279" t="s">
        <v>310</v>
      </c>
      <c r="E279" s="6">
        <v>0</v>
      </c>
      <c r="F279" s="6">
        <v>0</v>
      </c>
      <c r="G279" s="6">
        <v>0</v>
      </c>
      <c r="H279">
        <v>2021</v>
      </c>
    </row>
    <row r="280" spans="1:8">
      <c r="A280" t="s">
        <v>54</v>
      </c>
      <c r="B280" t="s">
        <v>447</v>
      </c>
      <c r="C280" t="s">
        <v>456</v>
      </c>
      <c r="D280" t="s">
        <v>320</v>
      </c>
      <c r="E280" s="6">
        <v>0</v>
      </c>
      <c r="F280" s="6">
        <v>0</v>
      </c>
      <c r="G280" s="6">
        <v>0</v>
      </c>
      <c r="H280">
        <v>2020</v>
      </c>
    </row>
    <row r="281" spans="1:8">
      <c r="A281" t="s">
        <v>54</v>
      </c>
      <c r="B281" t="s">
        <v>447</v>
      </c>
      <c r="C281" t="s">
        <v>457</v>
      </c>
      <c r="D281" t="s">
        <v>324</v>
      </c>
      <c r="E281" s="6">
        <v>0</v>
      </c>
      <c r="F281" s="6">
        <v>0</v>
      </c>
      <c r="G281" s="6">
        <v>0</v>
      </c>
      <c r="H281">
        <v>2020</v>
      </c>
    </row>
    <row r="282" spans="1:8">
      <c r="A282" t="s">
        <v>54</v>
      </c>
      <c r="B282" t="s">
        <v>447</v>
      </c>
      <c r="C282" t="s">
        <v>453</v>
      </c>
      <c r="D282" t="s">
        <v>310</v>
      </c>
      <c r="E282" s="6">
        <v>0</v>
      </c>
      <c r="F282" s="6">
        <v>0</v>
      </c>
      <c r="G282" s="6">
        <v>0</v>
      </c>
      <c r="H282">
        <v>2020</v>
      </c>
    </row>
    <row r="283" spans="1:8">
      <c r="A283" t="s">
        <v>56</v>
      </c>
      <c r="B283" t="s">
        <v>458</v>
      </c>
      <c r="C283" t="s">
        <v>459</v>
      </c>
      <c r="D283" t="s">
        <v>320</v>
      </c>
      <c r="E283" s="6">
        <v>0</v>
      </c>
      <c r="F283" s="6">
        <v>0</v>
      </c>
      <c r="G283" s="6">
        <v>0</v>
      </c>
      <c r="H283">
        <v>2023</v>
      </c>
    </row>
    <row r="284" spans="1:8">
      <c r="A284" t="s">
        <v>56</v>
      </c>
      <c r="B284" t="s">
        <v>458</v>
      </c>
      <c r="C284" t="s">
        <v>460</v>
      </c>
      <c r="D284" t="s">
        <v>324</v>
      </c>
      <c r="E284" s="6">
        <v>0</v>
      </c>
      <c r="F284" s="6">
        <v>0</v>
      </c>
      <c r="G284" s="6">
        <v>0</v>
      </c>
      <c r="H284">
        <v>2023</v>
      </c>
    </row>
    <row r="285" spans="1:8">
      <c r="A285" t="s">
        <v>56</v>
      </c>
      <c r="B285" t="s">
        <v>458</v>
      </c>
      <c r="C285" t="s">
        <v>461</v>
      </c>
      <c r="D285" t="s">
        <v>462</v>
      </c>
      <c r="E285" s="6">
        <v>0</v>
      </c>
      <c r="F285" s="6">
        <v>0</v>
      </c>
      <c r="G285" s="6">
        <v>0</v>
      </c>
      <c r="H285">
        <v>2023</v>
      </c>
    </row>
    <row r="286" spans="1:8">
      <c r="A286" t="s">
        <v>56</v>
      </c>
      <c r="B286" t="s">
        <v>458</v>
      </c>
      <c r="C286" t="s">
        <v>459</v>
      </c>
      <c r="D286" t="s">
        <v>320</v>
      </c>
      <c r="E286" s="6">
        <v>0</v>
      </c>
      <c r="F286" s="6">
        <v>0</v>
      </c>
      <c r="G286" s="6">
        <v>0</v>
      </c>
      <c r="H286">
        <v>2022</v>
      </c>
    </row>
    <row r="287" spans="1:8">
      <c r="A287" t="s">
        <v>56</v>
      </c>
      <c r="B287" t="s">
        <v>458</v>
      </c>
      <c r="C287" t="s">
        <v>463</v>
      </c>
      <c r="D287" t="s">
        <v>326</v>
      </c>
      <c r="E287" s="6">
        <v>0</v>
      </c>
      <c r="F287" s="6">
        <v>0</v>
      </c>
      <c r="G287" s="6">
        <v>0</v>
      </c>
      <c r="H287">
        <v>2022</v>
      </c>
    </row>
    <row r="288" spans="1:8">
      <c r="A288" t="s">
        <v>56</v>
      </c>
      <c r="B288" t="s">
        <v>458</v>
      </c>
      <c r="C288" t="s">
        <v>461</v>
      </c>
      <c r="D288" t="s">
        <v>462</v>
      </c>
      <c r="E288" s="6">
        <v>0</v>
      </c>
      <c r="F288" s="6">
        <v>0</v>
      </c>
      <c r="G288" s="6">
        <v>0</v>
      </c>
      <c r="H288">
        <v>2022</v>
      </c>
    </row>
    <row r="289" spans="1:8">
      <c r="A289" t="s">
        <v>56</v>
      </c>
      <c r="B289" t="s">
        <v>458</v>
      </c>
      <c r="C289" t="s">
        <v>459</v>
      </c>
      <c r="D289" t="s">
        <v>320</v>
      </c>
      <c r="E289" s="6">
        <v>0</v>
      </c>
      <c r="F289" s="6">
        <v>0</v>
      </c>
      <c r="G289" s="6">
        <v>0</v>
      </c>
      <c r="H289">
        <v>2021</v>
      </c>
    </row>
    <row r="290" spans="1:8">
      <c r="A290" t="s">
        <v>56</v>
      </c>
      <c r="B290" t="s">
        <v>458</v>
      </c>
      <c r="C290" t="s">
        <v>463</v>
      </c>
      <c r="D290" t="s">
        <v>326</v>
      </c>
      <c r="E290" s="6">
        <v>0</v>
      </c>
      <c r="F290" s="6">
        <v>0</v>
      </c>
      <c r="G290" s="6">
        <v>0</v>
      </c>
      <c r="H290">
        <v>2021</v>
      </c>
    </row>
    <row r="291" spans="1:8">
      <c r="A291" t="s">
        <v>56</v>
      </c>
      <c r="B291" t="s">
        <v>458</v>
      </c>
      <c r="C291" t="s">
        <v>461</v>
      </c>
      <c r="D291" t="s">
        <v>462</v>
      </c>
      <c r="E291" s="6">
        <v>0</v>
      </c>
      <c r="F291" s="6">
        <v>0</v>
      </c>
      <c r="G291" s="6">
        <v>0</v>
      </c>
      <c r="H291">
        <v>2021</v>
      </c>
    </row>
    <row r="292" spans="1:8">
      <c r="A292" t="s">
        <v>56</v>
      </c>
      <c r="B292" t="s">
        <v>458</v>
      </c>
      <c r="C292" t="s">
        <v>459</v>
      </c>
      <c r="D292" t="s">
        <v>320</v>
      </c>
      <c r="E292" s="6">
        <v>0</v>
      </c>
      <c r="F292" s="6">
        <v>0</v>
      </c>
      <c r="G292" s="6">
        <v>0</v>
      </c>
      <c r="H292">
        <v>2020</v>
      </c>
    </row>
    <row r="293" spans="1:8">
      <c r="A293" t="s">
        <v>56</v>
      </c>
      <c r="B293" t="s">
        <v>458</v>
      </c>
      <c r="C293" t="s">
        <v>463</v>
      </c>
      <c r="D293" t="s">
        <v>326</v>
      </c>
      <c r="E293" s="6">
        <v>0</v>
      </c>
      <c r="F293" s="6">
        <v>0</v>
      </c>
      <c r="G293" s="6">
        <v>0</v>
      </c>
      <c r="H293">
        <v>2020</v>
      </c>
    </row>
    <row r="294" spans="1:8">
      <c r="A294" t="s">
        <v>56</v>
      </c>
      <c r="B294" t="s">
        <v>458</v>
      </c>
      <c r="C294" t="s">
        <v>461</v>
      </c>
      <c r="D294" t="s">
        <v>462</v>
      </c>
      <c r="E294" s="6">
        <v>0</v>
      </c>
      <c r="F294" s="6">
        <v>0</v>
      </c>
      <c r="G294" s="6">
        <v>0</v>
      </c>
      <c r="H294">
        <v>2020</v>
      </c>
    </row>
    <row r="295" spans="1:8">
      <c r="A295" t="s">
        <v>59</v>
      </c>
      <c r="B295" t="s">
        <v>464</v>
      </c>
      <c r="C295" t="s">
        <v>465</v>
      </c>
      <c r="D295" t="s">
        <v>320</v>
      </c>
      <c r="E295" s="6">
        <v>2000</v>
      </c>
      <c r="F295" s="6">
        <v>0</v>
      </c>
      <c r="G295" s="6">
        <v>0</v>
      </c>
      <c r="H295">
        <v>2023</v>
      </c>
    </row>
    <row r="296" spans="1:8">
      <c r="A296" t="s">
        <v>59</v>
      </c>
      <c r="B296" t="s">
        <v>464</v>
      </c>
      <c r="C296" t="s">
        <v>466</v>
      </c>
      <c r="D296" t="s">
        <v>308</v>
      </c>
      <c r="E296" s="6">
        <v>0</v>
      </c>
      <c r="F296" s="6">
        <v>0</v>
      </c>
      <c r="G296" s="6">
        <v>0</v>
      </c>
      <c r="H296">
        <v>2023</v>
      </c>
    </row>
    <row r="297" spans="1:8">
      <c r="A297" t="s">
        <v>59</v>
      </c>
      <c r="B297" t="s">
        <v>464</v>
      </c>
      <c r="C297" t="s">
        <v>467</v>
      </c>
      <c r="D297" t="s">
        <v>315</v>
      </c>
      <c r="E297" s="6">
        <v>0</v>
      </c>
      <c r="F297" s="6">
        <v>0</v>
      </c>
      <c r="G297" s="6">
        <v>0</v>
      </c>
      <c r="H297">
        <v>2023</v>
      </c>
    </row>
    <row r="298" spans="1:8">
      <c r="A298" t="s">
        <v>59</v>
      </c>
      <c r="B298" t="s">
        <v>464</v>
      </c>
      <c r="C298" t="s">
        <v>468</v>
      </c>
      <c r="D298" t="s">
        <v>320</v>
      </c>
      <c r="E298" s="6">
        <v>72000</v>
      </c>
      <c r="F298" s="6">
        <v>0</v>
      </c>
      <c r="G298" s="6">
        <v>0</v>
      </c>
      <c r="H298">
        <v>2022</v>
      </c>
    </row>
    <row r="299" spans="1:8">
      <c r="A299" t="s">
        <v>59</v>
      </c>
      <c r="B299" t="s">
        <v>464</v>
      </c>
      <c r="C299" t="s">
        <v>465</v>
      </c>
      <c r="D299" t="s">
        <v>324</v>
      </c>
      <c r="E299" s="6">
        <v>12000</v>
      </c>
      <c r="F299" s="6">
        <v>0</v>
      </c>
      <c r="G299" s="6">
        <v>0</v>
      </c>
      <c r="H299">
        <v>2022</v>
      </c>
    </row>
    <row r="300" spans="1:8">
      <c r="A300" t="s">
        <v>59</v>
      </c>
      <c r="B300" t="s">
        <v>464</v>
      </c>
      <c r="C300" t="s">
        <v>466</v>
      </c>
      <c r="D300" t="s">
        <v>308</v>
      </c>
      <c r="E300" s="6">
        <v>0</v>
      </c>
      <c r="F300" s="6">
        <v>0</v>
      </c>
      <c r="G300" s="6">
        <v>0</v>
      </c>
      <c r="H300">
        <v>2022</v>
      </c>
    </row>
    <row r="301" spans="1:8">
      <c r="A301" t="s">
        <v>59</v>
      </c>
      <c r="B301" t="s">
        <v>464</v>
      </c>
      <c r="C301" t="s">
        <v>465</v>
      </c>
      <c r="D301" t="s">
        <v>320</v>
      </c>
      <c r="E301" s="6">
        <v>0</v>
      </c>
      <c r="F301" s="6">
        <v>0</v>
      </c>
      <c r="G301" s="6">
        <v>0</v>
      </c>
      <c r="H301">
        <v>2021</v>
      </c>
    </row>
    <row r="302" spans="1:8">
      <c r="A302" t="s">
        <v>59</v>
      </c>
      <c r="B302" t="s">
        <v>464</v>
      </c>
      <c r="C302" t="s">
        <v>469</v>
      </c>
      <c r="D302" t="s">
        <v>470</v>
      </c>
      <c r="E302" s="6">
        <v>0</v>
      </c>
      <c r="F302" s="6">
        <v>0</v>
      </c>
      <c r="G302" s="6">
        <v>0</v>
      </c>
      <c r="H302">
        <v>2021</v>
      </c>
    </row>
    <row r="303" spans="1:8">
      <c r="A303" t="s">
        <v>59</v>
      </c>
      <c r="B303" t="s">
        <v>464</v>
      </c>
      <c r="C303" t="s">
        <v>471</v>
      </c>
      <c r="D303" t="s">
        <v>472</v>
      </c>
      <c r="E303" s="6">
        <v>0</v>
      </c>
      <c r="F303" s="6">
        <v>0</v>
      </c>
      <c r="G303" s="6">
        <v>0</v>
      </c>
      <c r="H303">
        <v>2021</v>
      </c>
    </row>
    <row r="304" spans="1:8">
      <c r="A304" t="s">
        <v>59</v>
      </c>
      <c r="B304" t="s">
        <v>464</v>
      </c>
      <c r="C304" t="s">
        <v>473</v>
      </c>
      <c r="D304" t="s">
        <v>474</v>
      </c>
      <c r="E304" s="6">
        <v>96833</v>
      </c>
      <c r="F304" s="6">
        <v>0</v>
      </c>
      <c r="G304" s="6">
        <v>0</v>
      </c>
      <c r="H304">
        <v>2020</v>
      </c>
    </row>
    <row r="305" spans="1:8">
      <c r="A305" t="s">
        <v>59</v>
      </c>
      <c r="B305" t="s">
        <v>464</v>
      </c>
      <c r="C305" t="s">
        <v>469</v>
      </c>
      <c r="D305" t="s">
        <v>475</v>
      </c>
      <c r="E305" s="6">
        <v>88167</v>
      </c>
      <c r="F305" s="6">
        <v>0</v>
      </c>
      <c r="G305" s="6">
        <v>0</v>
      </c>
      <c r="H305">
        <v>2020</v>
      </c>
    </row>
    <row r="306" spans="1:8">
      <c r="A306" t="s">
        <v>59</v>
      </c>
      <c r="B306" t="s">
        <v>464</v>
      </c>
      <c r="C306" t="s">
        <v>465</v>
      </c>
      <c r="D306" t="s">
        <v>308</v>
      </c>
      <c r="E306" s="6">
        <v>2200</v>
      </c>
      <c r="F306" s="6">
        <v>0</v>
      </c>
      <c r="G306" s="6">
        <v>0</v>
      </c>
      <c r="H306">
        <v>2020</v>
      </c>
    </row>
    <row r="307" spans="1:8">
      <c r="A307" t="s">
        <v>59</v>
      </c>
      <c r="B307" t="s">
        <v>464</v>
      </c>
      <c r="C307" t="s">
        <v>473</v>
      </c>
      <c r="D307" t="s">
        <v>366</v>
      </c>
      <c r="E307" s="6">
        <v>123938</v>
      </c>
      <c r="F307" s="6">
        <v>0</v>
      </c>
      <c r="G307" s="6">
        <v>0</v>
      </c>
      <c r="H307">
        <v>2019</v>
      </c>
    </row>
    <row r="308" spans="1:8">
      <c r="A308" t="s">
        <v>59</v>
      </c>
      <c r="B308" t="s">
        <v>464</v>
      </c>
      <c r="C308" t="s">
        <v>476</v>
      </c>
      <c r="D308" t="s">
        <v>315</v>
      </c>
      <c r="E308" s="6">
        <v>97700</v>
      </c>
      <c r="F308" s="6">
        <v>0</v>
      </c>
      <c r="G308" s="6">
        <v>0</v>
      </c>
      <c r="H308">
        <v>2019</v>
      </c>
    </row>
    <row r="309" spans="1:8">
      <c r="A309" t="s">
        <v>59</v>
      </c>
      <c r="B309" t="s">
        <v>464</v>
      </c>
      <c r="C309" t="s">
        <v>477</v>
      </c>
      <c r="D309" t="s">
        <v>310</v>
      </c>
      <c r="E309" s="6">
        <v>5400</v>
      </c>
      <c r="F309" s="6">
        <v>0</v>
      </c>
      <c r="G309" s="6">
        <v>0</v>
      </c>
      <c r="H309">
        <v>2019</v>
      </c>
    </row>
    <row r="310" spans="1:8">
      <c r="A310" t="s">
        <v>59</v>
      </c>
      <c r="B310" t="s">
        <v>464</v>
      </c>
      <c r="C310" t="s">
        <v>473</v>
      </c>
      <c r="D310" t="s">
        <v>366</v>
      </c>
      <c r="E310" s="6">
        <v>85245</v>
      </c>
      <c r="F310" s="6">
        <v>0</v>
      </c>
      <c r="G310" s="6">
        <v>0</v>
      </c>
      <c r="H310">
        <v>2017</v>
      </c>
    </row>
    <row r="311" spans="1:8">
      <c r="A311" t="s">
        <v>59</v>
      </c>
      <c r="B311" t="s">
        <v>464</v>
      </c>
      <c r="C311" t="s">
        <v>476</v>
      </c>
      <c r="D311" t="s">
        <v>308</v>
      </c>
      <c r="E311" s="6">
        <v>72434</v>
      </c>
      <c r="F311" s="6">
        <v>0</v>
      </c>
      <c r="G311" s="6">
        <v>0</v>
      </c>
      <c r="H311">
        <v>2017</v>
      </c>
    </row>
    <row r="312" spans="1:8">
      <c r="A312" t="s">
        <v>59</v>
      </c>
      <c r="B312" t="s">
        <v>464</v>
      </c>
      <c r="C312" t="s">
        <v>471</v>
      </c>
      <c r="D312" t="s">
        <v>472</v>
      </c>
      <c r="E312" s="6">
        <v>0</v>
      </c>
      <c r="F312" s="6">
        <v>0</v>
      </c>
      <c r="G312" s="6">
        <v>0</v>
      </c>
      <c r="H312">
        <v>2017</v>
      </c>
    </row>
    <row r="313" spans="1:8">
      <c r="A313" t="s">
        <v>59</v>
      </c>
      <c r="B313" t="s">
        <v>464</v>
      </c>
      <c r="C313" t="s">
        <v>473</v>
      </c>
      <c r="D313" t="s">
        <v>320</v>
      </c>
      <c r="E313" s="6">
        <v>9000</v>
      </c>
      <c r="F313" s="6">
        <v>9000</v>
      </c>
      <c r="G313" s="6">
        <v>0</v>
      </c>
      <c r="H313">
        <v>2015</v>
      </c>
    </row>
    <row r="314" spans="1:8">
      <c r="A314" t="s">
        <v>59</v>
      </c>
      <c r="B314" t="s">
        <v>464</v>
      </c>
      <c r="C314" t="s">
        <v>476</v>
      </c>
      <c r="D314" t="s">
        <v>310</v>
      </c>
      <c r="E314" s="6">
        <v>9000</v>
      </c>
      <c r="F314" s="6">
        <v>9000</v>
      </c>
      <c r="G314" s="6">
        <v>0</v>
      </c>
      <c r="H314">
        <v>2015</v>
      </c>
    </row>
    <row r="315" spans="1:8">
      <c r="A315" t="s">
        <v>59</v>
      </c>
      <c r="B315" t="s">
        <v>464</v>
      </c>
      <c r="C315" t="s">
        <v>471</v>
      </c>
      <c r="D315" t="s">
        <v>324</v>
      </c>
      <c r="E315" s="6">
        <v>0</v>
      </c>
      <c r="F315" s="6">
        <v>0</v>
      </c>
      <c r="G315" s="6">
        <v>0</v>
      </c>
      <c r="H315">
        <v>2015</v>
      </c>
    </row>
    <row r="316" spans="1:8">
      <c r="A316" t="s">
        <v>59</v>
      </c>
      <c r="B316" t="s">
        <v>464</v>
      </c>
      <c r="C316" t="s">
        <v>473</v>
      </c>
      <c r="D316" t="s">
        <v>320</v>
      </c>
      <c r="E316" s="6">
        <v>18000</v>
      </c>
      <c r="F316" s="6">
        <v>0</v>
      </c>
      <c r="G316" s="6">
        <v>0</v>
      </c>
      <c r="H316">
        <v>2014</v>
      </c>
    </row>
    <row r="317" spans="1:8">
      <c r="A317" t="s">
        <v>59</v>
      </c>
      <c r="B317" t="s">
        <v>464</v>
      </c>
      <c r="C317" t="s">
        <v>476</v>
      </c>
      <c r="D317" t="s">
        <v>310</v>
      </c>
      <c r="E317" s="6">
        <v>0</v>
      </c>
      <c r="F317" s="6">
        <v>0</v>
      </c>
      <c r="G317" s="6">
        <v>0</v>
      </c>
      <c r="H317">
        <v>2014</v>
      </c>
    </row>
    <row r="318" spans="1:8">
      <c r="A318" t="s">
        <v>62</v>
      </c>
      <c r="B318" t="s">
        <v>478</v>
      </c>
      <c r="C318" t="s">
        <v>479</v>
      </c>
      <c r="D318" t="s">
        <v>306</v>
      </c>
      <c r="E318" s="6">
        <v>54000</v>
      </c>
      <c r="F318" s="6">
        <v>0</v>
      </c>
      <c r="G318" s="6">
        <v>0</v>
      </c>
      <c r="H318">
        <v>2023</v>
      </c>
    </row>
    <row r="319" spans="1:8">
      <c r="A319" t="s">
        <v>62</v>
      </c>
      <c r="B319" t="s">
        <v>478</v>
      </c>
      <c r="C319" t="s">
        <v>480</v>
      </c>
      <c r="D319" t="s">
        <v>320</v>
      </c>
      <c r="E319" s="6">
        <v>0</v>
      </c>
      <c r="F319" s="6">
        <v>0</v>
      </c>
      <c r="G319" s="6">
        <v>0</v>
      </c>
      <c r="H319">
        <v>2023</v>
      </c>
    </row>
    <row r="320" spans="1:8">
      <c r="A320" t="s">
        <v>62</v>
      </c>
      <c r="B320" t="s">
        <v>478</v>
      </c>
      <c r="C320" t="s">
        <v>481</v>
      </c>
      <c r="D320" t="s">
        <v>324</v>
      </c>
      <c r="E320" s="6">
        <v>0</v>
      </c>
      <c r="F320" s="6">
        <v>0</v>
      </c>
      <c r="G320" s="6">
        <v>0</v>
      </c>
      <c r="H320">
        <v>2023</v>
      </c>
    </row>
    <row r="321" spans="1:8">
      <c r="A321" t="s">
        <v>62</v>
      </c>
      <c r="B321" t="s">
        <v>478</v>
      </c>
      <c r="C321" t="s">
        <v>482</v>
      </c>
      <c r="D321" t="s">
        <v>315</v>
      </c>
      <c r="E321" s="6">
        <v>0</v>
      </c>
      <c r="F321" s="6">
        <v>0</v>
      </c>
      <c r="G321" s="6">
        <v>0</v>
      </c>
      <c r="H321">
        <v>2023</v>
      </c>
    </row>
    <row r="322" spans="1:8">
      <c r="A322" t="s">
        <v>62</v>
      </c>
      <c r="B322" t="s">
        <v>478</v>
      </c>
      <c r="C322" t="s">
        <v>483</v>
      </c>
      <c r="D322" t="s">
        <v>310</v>
      </c>
      <c r="E322" s="6">
        <v>0</v>
      </c>
      <c r="F322" s="6">
        <v>0</v>
      </c>
      <c r="G322" s="6">
        <v>0</v>
      </c>
      <c r="H322">
        <v>2023</v>
      </c>
    </row>
    <row r="323" spans="1:8">
      <c r="A323" t="s">
        <v>62</v>
      </c>
      <c r="B323" t="s">
        <v>478</v>
      </c>
      <c r="C323" t="s">
        <v>479</v>
      </c>
      <c r="D323" t="s">
        <v>306</v>
      </c>
      <c r="E323" s="6">
        <v>54000</v>
      </c>
      <c r="F323" s="6">
        <v>0</v>
      </c>
      <c r="G323" s="6">
        <v>0</v>
      </c>
      <c r="H323">
        <v>2022</v>
      </c>
    </row>
    <row r="324" spans="1:8">
      <c r="A324" t="s">
        <v>62</v>
      </c>
      <c r="B324" t="s">
        <v>478</v>
      </c>
      <c r="C324" t="s">
        <v>481</v>
      </c>
      <c r="D324" t="s">
        <v>324</v>
      </c>
      <c r="E324" s="6">
        <v>0</v>
      </c>
      <c r="F324" s="6">
        <v>0</v>
      </c>
      <c r="G324" s="6">
        <v>0</v>
      </c>
      <c r="H324">
        <v>2022</v>
      </c>
    </row>
    <row r="325" spans="1:8">
      <c r="A325" t="s">
        <v>62</v>
      </c>
      <c r="B325" t="s">
        <v>478</v>
      </c>
      <c r="C325" t="s">
        <v>482</v>
      </c>
      <c r="D325" t="s">
        <v>315</v>
      </c>
      <c r="E325" s="6">
        <v>0</v>
      </c>
      <c r="F325" s="6">
        <v>0</v>
      </c>
      <c r="G325" s="6">
        <v>0</v>
      </c>
      <c r="H325">
        <v>2022</v>
      </c>
    </row>
    <row r="326" spans="1:8">
      <c r="A326" t="s">
        <v>62</v>
      </c>
      <c r="B326" t="s">
        <v>478</v>
      </c>
      <c r="C326" t="s">
        <v>479</v>
      </c>
      <c r="D326" t="s">
        <v>306</v>
      </c>
      <c r="E326" s="6">
        <v>54000</v>
      </c>
      <c r="F326" s="6">
        <v>0</v>
      </c>
      <c r="G326" s="6">
        <v>0</v>
      </c>
      <c r="H326">
        <v>2021</v>
      </c>
    </row>
    <row r="327" spans="1:8">
      <c r="A327" t="s">
        <v>62</v>
      </c>
      <c r="B327" t="s">
        <v>478</v>
      </c>
      <c r="C327" t="s">
        <v>481</v>
      </c>
      <c r="D327" t="s">
        <v>324</v>
      </c>
      <c r="E327" s="6">
        <v>0</v>
      </c>
      <c r="F327" s="6">
        <v>0</v>
      </c>
      <c r="G327" s="6">
        <v>0</v>
      </c>
      <c r="H327">
        <v>2021</v>
      </c>
    </row>
    <row r="328" spans="1:8">
      <c r="A328" t="s">
        <v>62</v>
      </c>
      <c r="B328" t="s">
        <v>478</v>
      </c>
      <c r="C328" t="s">
        <v>482</v>
      </c>
      <c r="D328" t="s">
        <v>315</v>
      </c>
      <c r="E328" s="6">
        <v>0</v>
      </c>
      <c r="F328" s="6">
        <v>0</v>
      </c>
      <c r="G328" s="6">
        <v>0</v>
      </c>
      <c r="H328">
        <v>2021</v>
      </c>
    </row>
    <row r="329" spans="1:8">
      <c r="A329" t="s">
        <v>62</v>
      </c>
      <c r="B329" t="s">
        <v>478</v>
      </c>
      <c r="C329" t="s">
        <v>479</v>
      </c>
      <c r="D329" t="s">
        <v>306</v>
      </c>
      <c r="E329" s="6">
        <v>48500</v>
      </c>
      <c r="F329" s="6">
        <v>0</v>
      </c>
      <c r="G329" s="6">
        <v>0</v>
      </c>
      <c r="H329">
        <v>2020</v>
      </c>
    </row>
    <row r="330" spans="1:8">
      <c r="A330" t="s">
        <v>62</v>
      </c>
      <c r="B330" t="s">
        <v>478</v>
      </c>
      <c r="C330" t="s">
        <v>481</v>
      </c>
      <c r="D330" t="s">
        <v>324</v>
      </c>
      <c r="E330" s="6">
        <v>0</v>
      </c>
      <c r="F330" s="6">
        <v>0</v>
      </c>
      <c r="G330" s="6">
        <v>0</v>
      </c>
      <c r="H330">
        <v>2020</v>
      </c>
    </row>
    <row r="331" spans="1:8">
      <c r="A331" t="s">
        <v>62</v>
      </c>
      <c r="B331" t="s">
        <v>478</v>
      </c>
      <c r="C331" t="s">
        <v>482</v>
      </c>
      <c r="D331" t="s">
        <v>315</v>
      </c>
      <c r="E331" s="6">
        <v>0</v>
      </c>
      <c r="F331" s="6">
        <v>0</v>
      </c>
      <c r="G331" s="6">
        <v>0</v>
      </c>
      <c r="H331">
        <v>2020</v>
      </c>
    </row>
    <row r="332" spans="1:8">
      <c r="A332" t="s">
        <v>62</v>
      </c>
      <c r="B332" t="s">
        <v>478</v>
      </c>
      <c r="C332" t="s">
        <v>479</v>
      </c>
      <c r="D332" t="s">
        <v>306</v>
      </c>
      <c r="E332" s="6">
        <v>47000</v>
      </c>
      <c r="F332" s="6">
        <v>0</v>
      </c>
      <c r="G332" s="6">
        <v>0</v>
      </c>
      <c r="H332">
        <v>2019</v>
      </c>
    </row>
    <row r="333" spans="1:8">
      <c r="A333" t="s">
        <v>62</v>
      </c>
      <c r="B333" t="s">
        <v>478</v>
      </c>
      <c r="C333" t="s">
        <v>481</v>
      </c>
      <c r="D333" t="s">
        <v>324</v>
      </c>
      <c r="E333" s="6">
        <v>0</v>
      </c>
      <c r="F333" s="6">
        <v>0</v>
      </c>
      <c r="G333" s="6">
        <v>0</v>
      </c>
      <c r="H333">
        <v>2019</v>
      </c>
    </row>
    <row r="334" spans="1:8">
      <c r="A334" t="s">
        <v>62</v>
      </c>
      <c r="B334" t="s">
        <v>478</v>
      </c>
      <c r="C334" t="s">
        <v>482</v>
      </c>
      <c r="D334" t="s">
        <v>315</v>
      </c>
      <c r="E334" s="6">
        <v>0</v>
      </c>
      <c r="F334" s="6">
        <v>0</v>
      </c>
      <c r="G334" s="6">
        <v>0</v>
      </c>
      <c r="H334">
        <v>2019</v>
      </c>
    </row>
    <row r="335" spans="1:8">
      <c r="A335" t="s">
        <v>62</v>
      </c>
      <c r="B335" t="s">
        <v>478</v>
      </c>
      <c r="C335" t="s">
        <v>479</v>
      </c>
      <c r="D335" t="s">
        <v>306</v>
      </c>
      <c r="E335" s="6">
        <v>36000</v>
      </c>
      <c r="F335" s="6">
        <v>0</v>
      </c>
      <c r="G335" s="6">
        <v>0</v>
      </c>
      <c r="H335">
        <v>2018</v>
      </c>
    </row>
    <row r="336" spans="1:8">
      <c r="A336" t="s">
        <v>62</v>
      </c>
      <c r="B336" t="s">
        <v>478</v>
      </c>
      <c r="C336" t="s">
        <v>481</v>
      </c>
      <c r="D336" t="s">
        <v>324</v>
      </c>
      <c r="E336" s="6">
        <v>0</v>
      </c>
      <c r="F336" s="6">
        <v>0</v>
      </c>
      <c r="G336" s="6">
        <v>0</v>
      </c>
      <c r="H336">
        <v>2018</v>
      </c>
    </row>
    <row r="337" spans="1:8">
      <c r="A337" t="s">
        <v>62</v>
      </c>
      <c r="B337" t="s">
        <v>478</v>
      </c>
      <c r="C337" t="s">
        <v>482</v>
      </c>
      <c r="D337" t="s">
        <v>315</v>
      </c>
      <c r="E337" s="6">
        <v>0</v>
      </c>
      <c r="F337" s="6">
        <v>0</v>
      </c>
      <c r="G337" s="6">
        <v>0</v>
      </c>
      <c r="H337">
        <v>2018</v>
      </c>
    </row>
    <row r="338" spans="1:8">
      <c r="A338" t="s">
        <v>65</v>
      </c>
      <c r="B338" t="s">
        <v>484</v>
      </c>
      <c r="C338" t="s">
        <v>485</v>
      </c>
      <c r="D338" t="s">
        <v>320</v>
      </c>
      <c r="E338" s="6">
        <v>0</v>
      </c>
      <c r="F338" s="6">
        <v>0</v>
      </c>
      <c r="G338" s="6">
        <v>0</v>
      </c>
      <c r="H338">
        <v>2023</v>
      </c>
    </row>
    <row r="339" spans="1:8">
      <c r="A339" t="s">
        <v>65</v>
      </c>
      <c r="B339" t="s">
        <v>484</v>
      </c>
      <c r="C339" t="s">
        <v>486</v>
      </c>
      <c r="D339" t="s">
        <v>324</v>
      </c>
      <c r="E339" s="6">
        <v>0</v>
      </c>
      <c r="F339" s="6">
        <v>0</v>
      </c>
      <c r="G339" s="6">
        <v>0</v>
      </c>
      <c r="H339">
        <v>2023</v>
      </c>
    </row>
    <row r="340" spans="1:8">
      <c r="A340" t="s">
        <v>65</v>
      </c>
      <c r="B340" t="s">
        <v>484</v>
      </c>
      <c r="C340" t="s">
        <v>487</v>
      </c>
      <c r="D340" t="s">
        <v>417</v>
      </c>
      <c r="E340" s="6">
        <v>0</v>
      </c>
      <c r="F340" s="6">
        <v>0</v>
      </c>
      <c r="G340" s="6">
        <v>0</v>
      </c>
      <c r="H340">
        <v>2023</v>
      </c>
    </row>
    <row r="341" spans="1:8">
      <c r="A341" t="s">
        <v>65</v>
      </c>
      <c r="B341" t="s">
        <v>484</v>
      </c>
      <c r="C341" t="s">
        <v>485</v>
      </c>
      <c r="D341" t="s">
        <v>320</v>
      </c>
      <c r="E341" s="6">
        <v>0</v>
      </c>
      <c r="F341" s="6">
        <v>0</v>
      </c>
      <c r="G341" s="6">
        <v>0</v>
      </c>
      <c r="H341">
        <v>2022</v>
      </c>
    </row>
    <row r="342" spans="1:8">
      <c r="A342" t="s">
        <v>65</v>
      </c>
      <c r="B342" t="s">
        <v>484</v>
      </c>
      <c r="C342" t="s">
        <v>486</v>
      </c>
      <c r="D342" t="s">
        <v>324</v>
      </c>
      <c r="E342" s="6">
        <v>0</v>
      </c>
      <c r="F342" s="6">
        <v>0</v>
      </c>
      <c r="G342" s="6">
        <v>0</v>
      </c>
      <c r="H342">
        <v>2022</v>
      </c>
    </row>
    <row r="343" spans="1:8">
      <c r="A343" t="s">
        <v>65</v>
      </c>
      <c r="B343" t="s">
        <v>484</v>
      </c>
      <c r="C343" t="s">
        <v>487</v>
      </c>
      <c r="D343" t="s">
        <v>488</v>
      </c>
      <c r="E343" s="6">
        <v>0</v>
      </c>
      <c r="F343" s="6">
        <v>0</v>
      </c>
      <c r="G343" s="6">
        <v>0</v>
      </c>
      <c r="H343">
        <v>2022</v>
      </c>
    </row>
    <row r="344" spans="1:8">
      <c r="A344" t="s">
        <v>65</v>
      </c>
      <c r="B344" t="s">
        <v>484</v>
      </c>
      <c r="C344" t="s">
        <v>485</v>
      </c>
      <c r="D344" t="s">
        <v>320</v>
      </c>
      <c r="E344" s="6">
        <v>0</v>
      </c>
      <c r="F344" s="6">
        <v>0</v>
      </c>
      <c r="G344" s="6">
        <v>0</v>
      </c>
      <c r="H344">
        <v>2020</v>
      </c>
    </row>
    <row r="345" spans="1:8">
      <c r="A345" t="s">
        <v>65</v>
      </c>
      <c r="B345" t="s">
        <v>484</v>
      </c>
      <c r="C345" t="s">
        <v>486</v>
      </c>
      <c r="D345" t="s">
        <v>324</v>
      </c>
      <c r="E345" s="6">
        <v>0</v>
      </c>
      <c r="F345" s="6">
        <v>0</v>
      </c>
      <c r="G345" s="6">
        <v>0</v>
      </c>
      <c r="H345">
        <v>2020</v>
      </c>
    </row>
    <row r="346" spans="1:8">
      <c r="A346" t="s">
        <v>65</v>
      </c>
      <c r="B346" t="s">
        <v>484</v>
      </c>
      <c r="C346" t="s">
        <v>489</v>
      </c>
      <c r="D346" t="s">
        <v>490</v>
      </c>
      <c r="E346" s="6">
        <v>0</v>
      </c>
      <c r="F346" s="6">
        <v>0</v>
      </c>
      <c r="G346" s="6">
        <v>0</v>
      </c>
      <c r="H346">
        <v>2020</v>
      </c>
    </row>
    <row r="347" spans="1:8">
      <c r="A347" t="s">
        <v>65</v>
      </c>
      <c r="B347" t="s">
        <v>484</v>
      </c>
      <c r="C347" t="s">
        <v>485</v>
      </c>
      <c r="D347" t="s">
        <v>320</v>
      </c>
      <c r="E347" s="6">
        <v>0</v>
      </c>
      <c r="F347" s="6">
        <v>0</v>
      </c>
      <c r="G347" s="6">
        <v>0</v>
      </c>
      <c r="H347">
        <v>2018</v>
      </c>
    </row>
    <row r="348" spans="1:8">
      <c r="A348" t="s">
        <v>65</v>
      </c>
      <c r="B348" t="s">
        <v>484</v>
      </c>
      <c r="C348" t="s">
        <v>486</v>
      </c>
      <c r="D348" t="s">
        <v>324</v>
      </c>
      <c r="E348" s="6">
        <v>0</v>
      </c>
      <c r="F348" s="6">
        <v>0</v>
      </c>
      <c r="G348" s="6">
        <v>0</v>
      </c>
      <c r="H348">
        <v>2018</v>
      </c>
    </row>
    <row r="349" spans="1:8">
      <c r="A349" t="s">
        <v>65</v>
      </c>
      <c r="B349" t="s">
        <v>484</v>
      </c>
      <c r="C349" t="s">
        <v>485</v>
      </c>
      <c r="D349" t="s">
        <v>320</v>
      </c>
      <c r="E349" s="6">
        <v>0</v>
      </c>
      <c r="F349" s="6">
        <v>0</v>
      </c>
      <c r="G349" s="6">
        <v>0</v>
      </c>
      <c r="H349">
        <v>2017</v>
      </c>
    </row>
    <row r="350" spans="1:8">
      <c r="A350" t="s">
        <v>65</v>
      </c>
      <c r="B350" t="s">
        <v>484</v>
      </c>
      <c r="C350" t="s">
        <v>486</v>
      </c>
      <c r="D350" t="s">
        <v>324</v>
      </c>
      <c r="E350" s="6">
        <v>0</v>
      </c>
      <c r="F350" s="6">
        <v>0</v>
      </c>
      <c r="G350" s="6">
        <v>0</v>
      </c>
      <c r="H350">
        <v>2017</v>
      </c>
    </row>
    <row r="351" spans="1:8">
      <c r="A351" t="s">
        <v>65</v>
      </c>
      <c r="B351" t="s">
        <v>484</v>
      </c>
      <c r="C351" t="s">
        <v>485</v>
      </c>
      <c r="D351" t="s">
        <v>320</v>
      </c>
      <c r="E351" s="6">
        <v>0</v>
      </c>
      <c r="F351" s="6">
        <v>0</v>
      </c>
      <c r="G351" s="6">
        <v>0</v>
      </c>
      <c r="H351">
        <v>2016</v>
      </c>
    </row>
    <row r="352" spans="1:8">
      <c r="A352" t="s">
        <v>65</v>
      </c>
      <c r="B352" t="s">
        <v>484</v>
      </c>
      <c r="C352" t="s">
        <v>486</v>
      </c>
      <c r="D352" t="s">
        <v>324</v>
      </c>
      <c r="E352" s="6">
        <v>0</v>
      </c>
      <c r="F352" s="6">
        <v>0</v>
      </c>
      <c r="G352" s="6">
        <v>0</v>
      </c>
      <c r="H352">
        <v>2016</v>
      </c>
    </row>
    <row r="353" spans="1:8">
      <c r="A353" t="s">
        <v>69</v>
      </c>
      <c r="B353" t="s">
        <v>67</v>
      </c>
      <c r="C353" t="s">
        <v>491</v>
      </c>
      <c r="D353" t="s">
        <v>306</v>
      </c>
      <c r="E353" s="6">
        <v>175975</v>
      </c>
      <c r="F353" s="6">
        <v>0</v>
      </c>
      <c r="G353" s="6">
        <v>0</v>
      </c>
      <c r="H353">
        <v>2023</v>
      </c>
    </row>
    <row r="354" spans="1:8">
      <c r="A354" t="s">
        <v>69</v>
      </c>
      <c r="B354" t="s">
        <v>67</v>
      </c>
      <c r="C354" t="s">
        <v>492</v>
      </c>
      <c r="D354" t="s">
        <v>493</v>
      </c>
      <c r="E354" s="6">
        <v>123309</v>
      </c>
      <c r="F354" s="6">
        <v>0</v>
      </c>
      <c r="G354" s="6">
        <v>0</v>
      </c>
      <c r="H354">
        <v>2022</v>
      </c>
    </row>
    <row r="355" spans="1:8">
      <c r="A355" t="s">
        <v>69</v>
      </c>
      <c r="B355" t="s">
        <v>67</v>
      </c>
      <c r="C355" t="s">
        <v>494</v>
      </c>
      <c r="D355" t="s">
        <v>308</v>
      </c>
      <c r="E355" s="6">
        <v>50550</v>
      </c>
      <c r="F355" s="6">
        <v>0</v>
      </c>
      <c r="G355" s="6">
        <v>0</v>
      </c>
      <c r="H355">
        <v>2022</v>
      </c>
    </row>
    <row r="356" spans="1:8">
      <c r="A356" t="s">
        <v>69</v>
      </c>
      <c r="B356" t="s">
        <v>67</v>
      </c>
      <c r="C356" t="s">
        <v>494</v>
      </c>
      <c r="D356" t="s">
        <v>306</v>
      </c>
      <c r="E356" s="6">
        <v>112875</v>
      </c>
      <c r="F356" s="6">
        <v>0</v>
      </c>
      <c r="G356" s="6">
        <v>6553</v>
      </c>
      <c r="H356">
        <v>2019</v>
      </c>
    </row>
    <row r="357" spans="1:8">
      <c r="A357" t="s">
        <v>69</v>
      </c>
      <c r="B357" t="s">
        <v>67</v>
      </c>
      <c r="C357" t="s">
        <v>492</v>
      </c>
      <c r="D357" t="s">
        <v>493</v>
      </c>
      <c r="E357" s="6">
        <v>74707</v>
      </c>
      <c r="F357" s="6">
        <v>0</v>
      </c>
      <c r="G357" s="6">
        <v>7650</v>
      </c>
      <c r="H357">
        <v>2019</v>
      </c>
    </row>
    <row r="358" spans="1:8">
      <c r="A358" t="s">
        <v>69</v>
      </c>
      <c r="B358" t="s">
        <v>67</v>
      </c>
      <c r="C358" t="s">
        <v>495</v>
      </c>
      <c r="D358" t="s">
        <v>306</v>
      </c>
      <c r="E358" s="6">
        <v>95000</v>
      </c>
      <c r="F358" s="6">
        <v>0</v>
      </c>
      <c r="G358" s="6">
        <v>0</v>
      </c>
      <c r="H358">
        <v>2015</v>
      </c>
    </row>
    <row r="359" spans="1:8">
      <c r="A359" t="s">
        <v>69</v>
      </c>
      <c r="B359" t="s">
        <v>67</v>
      </c>
      <c r="C359" t="s">
        <v>496</v>
      </c>
      <c r="D359" t="s">
        <v>320</v>
      </c>
      <c r="E359" s="6">
        <v>0</v>
      </c>
      <c r="F359" s="6">
        <v>0</v>
      </c>
      <c r="G359" s="6">
        <v>0</v>
      </c>
      <c r="H359">
        <v>2015</v>
      </c>
    </row>
    <row r="360" spans="1:8">
      <c r="A360" t="s">
        <v>69</v>
      </c>
      <c r="B360" t="s">
        <v>67</v>
      </c>
      <c r="C360" t="s">
        <v>495</v>
      </c>
      <c r="D360" t="s">
        <v>306</v>
      </c>
      <c r="E360" s="6">
        <v>96873</v>
      </c>
      <c r="F360" s="6">
        <v>0</v>
      </c>
      <c r="G360" s="6">
        <v>0</v>
      </c>
      <c r="H360">
        <v>2014</v>
      </c>
    </row>
    <row r="361" spans="1:8">
      <c r="A361" t="s">
        <v>69</v>
      </c>
      <c r="B361" t="s">
        <v>67</v>
      </c>
      <c r="C361" t="s">
        <v>496</v>
      </c>
      <c r="D361" t="s">
        <v>320</v>
      </c>
      <c r="E361" s="6">
        <v>0</v>
      </c>
      <c r="F361" s="6">
        <v>0</v>
      </c>
      <c r="G361" s="6">
        <v>0</v>
      </c>
      <c r="H361">
        <v>2014</v>
      </c>
    </row>
    <row r="362" spans="1:8">
      <c r="A362" t="s">
        <v>69</v>
      </c>
      <c r="B362" t="s">
        <v>67</v>
      </c>
      <c r="C362" t="s">
        <v>494</v>
      </c>
      <c r="D362" t="s">
        <v>306</v>
      </c>
      <c r="E362" s="6">
        <v>36308</v>
      </c>
      <c r="F362" s="6">
        <v>0</v>
      </c>
      <c r="G362" s="6">
        <v>0</v>
      </c>
      <c r="H362">
        <v>2013</v>
      </c>
    </row>
    <row r="363" spans="1:8">
      <c r="A363" t="s">
        <v>72</v>
      </c>
      <c r="B363" t="s">
        <v>497</v>
      </c>
      <c r="C363" t="s">
        <v>498</v>
      </c>
      <c r="D363" t="s">
        <v>306</v>
      </c>
      <c r="E363" s="6">
        <v>163173</v>
      </c>
      <c r="F363" s="6">
        <v>0</v>
      </c>
      <c r="G363" s="6">
        <v>5521</v>
      </c>
      <c r="H363">
        <v>2023</v>
      </c>
    </row>
    <row r="364" spans="1:8">
      <c r="A364" t="s">
        <v>72</v>
      </c>
      <c r="B364" t="s">
        <v>497</v>
      </c>
      <c r="C364" t="s">
        <v>499</v>
      </c>
      <c r="D364" t="s">
        <v>500</v>
      </c>
      <c r="E364" s="6">
        <v>113411</v>
      </c>
      <c r="F364" s="6">
        <v>0</v>
      </c>
      <c r="G364" s="6">
        <v>11143</v>
      </c>
      <c r="H364">
        <v>2023</v>
      </c>
    </row>
    <row r="365" spans="1:8">
      <c r="A365" t="s">
        <v>72</v>
      </c>
      <c r="B365" t="s">
        <v>497</v>
      </c>
      <c r="C365" t="s">
        <v>501</v>
      </c>
      <c r="D365" t="s">
        <v>502</v>
      </c>
      <c r="E365" s="6">
        <v>112633</v>
      </c>
      <c r="F365" s="6">
        <v>0</v>
      </c>
      <c r="G365" s="6">
        <v>3379</v>
      </c>
      <c r="H365">
        <v>2023</v>
      </c>
    </row>
    <row r="366" spans="1:8">
      <c r="A366" t="s">
        <v>72</v>
      </c>
      <c r="B366" t="s">
        <v>497</v>
      </c>
      <c r="C366" t="s">
        <v>498</v>
      </c>
      <c r="D366" t="s">
        <v>306</v>
      </c>
      <c r="E366" s="6">
        <v>154138</v>
      </c>
      <c r="F366" s="6">
        <v>0</v>
      </c>
      <c r="G366" s="6">
        <v>9908</v>
      </c>
      <c r="H366">
        <v>2022</v>
      </c>
    </row>
    <row r="367" spans="1:8">
      <c r="A367" t="s">
        <v>72</v>
      </c>
      <c r="B367" t="s">
        <v>497</v>
      </c>
      <c r="C367" t="s">
        <v>499</v>
      </c>
      <c r="D367" t="s">
        <v>500</v>
      </c>
      <c r="E367" s="6">
        <v>111584</v>
      </c>
      <c r="F367" s="6">
        <v>0</v>
      </c>
      <c r="G367" s="6">
        <v>14387</v>
      </c>
      <c r="H367">
        <v>2022</v>
      </c>
    </row>
    <row r="368" spans="1:8">
      <c r="A368" t="s">
        <v>72</v>
      </c>
      <c r="B368" t="s">
        <v>497</v>
      </c>
      <c r="C368" t="s">
        <v>503</v>
      </c>
      <c r="D368" t="s">
        <v>504</v>
      </c>
      <c r="E368" s="6">
        <v>108488</v>
      </c>
      <c r="F368" s="6">
        <v>0</v>
      </c>
      <c r="G368" s="6">
        <v>17153</v>
      </c>
      <c r="H368">
        <v>2022</v>
      </c>
    </row>
    <row r="369" spans="1:8">
      <c r="A369" t="s">
        <v>72</v>
      </c>
      <c r="B369" t="s">
        <v>497</v>
      </c>
      <c r="C369" t="s">
        <v>498</v>
      </c>
      <c r="D369" t="s">
        <v>306</v>
      </c>
      <c r="E369" s="6">
        <v>140570</v>
      </c>
      <c r="F369" s="6">
        <v>0</v>
      </c>
      <c r="G369" s="6">
        <v>7705</v>
      </c>
      <c r="H369">
        <v>2021</v>
      </c>
    </row>
    <row r="370" spans="1:8">
      <c r="A370" t="s">
        <v>72</v>
      </c>
      <c r="B370" t="s">
        <v>497</v>
      </c>
      <c r="C370" t="s">
        <v>505</v>
      </c>
      <c r="D370" t="s">
        <v>506</v>
      </c>
      <c r="E370" s="6">
        <v>84537</v>
      </c>
      <c r="F370" s="6">
        <v>0</v>
      </c>
      <c r="G370" s="6">
        <v>4253</v>
      </c>
      <c r="H370">
        <v>2021</v>
      </c>
    </row>
    <row r="371" spans="1:8">
      <c r="A371" t="s">
        <v>72</v>
      </c>
      <c r="B371" t="s">
        <v>497</v>
      </c>
      <c r="C371" t="s">
        <v>507</v>
      </c>
      <c r="D371" t="s">
        <v>506</v>
      </c>
      <c r="E371" s="6">
        <v>7179</v>
      </c>
      <c r="F371" s="6">
        <v>0</v>
      </c>
      <c r="G371" s="6">
        <v>0</v>
      </c>
      <c r="H371">
        <v>2021</v>
      </c>
    </row>
    <row r="372" spans="1:8">
      <c r="A372" t="s">
        <v>72</v>
      </c>
      <c r="B372" t="s">
        <v>497</v>
      </c>
      <c r="C372" t="s">
        <v>498</v>
      </c>
      <c r="D372" t="s">
        <v>306</v>
      </c>
      <c r="E372" s="6">
        <v>138110</v>
      </c>
      <c r="F372" s="6">
        <v>0</v>
      </c>
      <c r="G372" s="6">
        <v>4768</v>
      </c>
      <c r="H372">
        <v>2020</v>
      </c>
    </row>
    <row r="373" spans="1:8">
      <c r="A373" t="s">
        <v>72</v>
      </c>
      <c r="B373" t="s">
        <v>497</v>
      </c>
      <c r="C373" t="s">
        <v>499</v>
      </c>
      <c r="D373" t="s">
        <v>500</v>
      </c>
      <c r="E373" s="6">
        <v>103724</v>
      </c>
      <c r="F373" s="6">
        <v>0</v>
      </c>
      <c r="G373" s="6">
        <v>0</v>
      </c>
      <c r="H373">
        <v>2020</v>
      </c>
    </row>
    <row r="374" spans="1:8">
      <c r="A374" t="s">
        <v>72</v>
      </c>
      <c r="B374" t="s">
        <v>497</v>
      </c>
      <c r="C374" t="s">
        <v>505</v>
      </c>
      <c r="D374" t="s">
        <v>506</v>
      </c>
      <c r="E374" s="6">
        <v>83027</v>
      </c>
      <c r="F374" s="6">
        <v>0</v>
      </c>
      <c r="G374" s="6">
        <v>2491</v>
      </c>
      <c r="H374">
        <v>2020</v>
      </c>
    </row>
    <row r="375" spans="1:8">
      <c r="A375" t="s">
        <v>72</v>
      </c>
      <c r="B375" t="s">
        <v>497</v>
      </c>
      <c r="C375" t="s">
        <v>498</v>
      </c>
      <c r="D375" t="s">
        <v>306</v>
      </c>
      <c r="E375" s="6">
        <v>134046</v>
      </c>
      <c r="F375" s="6">
        <v>0</v>
      </c>
      <c r="G375" s="6">
        <v>7263</v>
      </c>
      <c r="H375">
        <v>2019</v>
      </c>
    </row>
    <row r="376" spans="1:8">
      <c r="A376" t="s">
        <v>72</v>
      </c>
      <c r="B376" t="s">
        <v>497</v>
      </c>
      <c r="C376" t="s">
        <v>508</v>
      </c>
      <c r="D376" t="s">
        <v>509</v>
      </c>
      <c r="E376" s="6">
        <v>100586</v>
      </c>
      <c r="F376" s="6">
        <v>0</v>
      </c>
      <c r="G376" s="6">
        <v>11233</v>
      </c>
      <c r="H376">
        <v>2019</v>
      </c>
    </row>
    <row r="377" spans="1:8">
      <c r="A377" t="s">
        <v>72</v>
      </c>
      <c r="B377" t="s">
        <v>497</v>
      </c>
      <c r="C377" t="s">
        <v>505</v>
      </c>
      <c r="D377" t="s">
        <v>506</v>
      </c>
      <c r="E377" s="6">
        <v>80680</v>
      </c>
      <c r="F377" s="6">
        <v>0</v>
      </c>
      <c r="G377" s="6">
        <v>4012</v>
      </c>
      <c r="H377">
        <v>2019</v>
      </c>
    </row>
    <row r="378" spans="1:8">
      <c r="A378" t="s">
        <v>74</v>
      </c>
      <c r="B378" t="s">
        <v>510</v>
      </c>
      <c r="C378" t="s">
        <v>511</v>
      </c>
      <c r="D378" t="s">
        <v>306</v>
      </c>
      <c r="E378" s="6">
        <v>121225</v>
      </c>
      <c r="F378" s="6">
        <v>0</v>
      </c>
      <c r="G378" s="6">
        <v>30234</v>
      </c>
      <c r="H378">
        <v>2023</v>
      </c>
    </row>
    <row r="379" spans="1:8">
      <c r="A379" t="s">
        <v>74</v>
      </c>
      <c r="B379" t="s">
        <v>510</v>
      </c>
      <c r="C379" t="s">
        <v>512</v>
      </c>
      <c r="D379" t="s">
        <v>320</v>
      </c>
      <c r="E379" s="6">
        <v>0</v>
      </c>
      <c r="F379" s="6">
        <v>0</v>
      </c>
      <c r="G379" s="6">
        <v>0</v>
      </c>
      <c r="H379">
        <v>2023</v>
      </c>
    </row>
    <row r="380" spans="1:8">
      <c r="A380" t="s">
        <v>74</v>
      </c>
      <c r="B380" t="s">
        <v>510</v>
      </c>
      <c r="C380" t="s">
        <v>513</v>
      </c>
      <c r="D380" t="s">
        <v>315</v>
      </c>
      <c r="E380" s="6">
        <v>0</v>
      </c>
      <c r="F380" s="6">
        <v>0</v>
      </c>
      <c r="G380" s="6">
        <v>0</v>
      </c>
      <c r="H380">
        <v>2023</v>
      </c>
    </row>
    <row r="381" spans="1:8">
      <c r="A381" t="s">
        <v>74</v>
      </c>
      <c r="B381" t="s">
        <v>510</v>
      </c>
      <c r="C381" t="s">
        <v>514</v>
      </c>
      <c r="D381" t="s">
        <v>306</v>
      </c>
      <c r="E381" s="6">
        <v>97820</v>
      </c>
      <c r="F381" s="6">
        <v>0</v>
      </c>
      <c r="G381" s="6">
        <v>8436</v>
      </c>
      <c r="H381">
        <v>2021</v>
      </c>
    </row>
    <row r="382" spans="1:8">
      <c r="A382" t="s">
        <v>74</v>
      </c>
      <c r="B382" t="s">
        <v>510</v>
      </c>
      <c r="C382" t="s">
        <v>515</v>
      </c>
      <c r="D382" t="s">
        <v>516</v>
      </c>
      <c r="E382" s="6">
        <v>23875</v>
      </c>
      <c r="F382" s="6">
        <v>0</v>
      </c>
      <c r="G382" s="6">
        <v>225</v>
      </c>
      <c r="H382">
        <v>2022</v>
      </c>
    </row>
    <row r="383" spans="1:8">
      <c r="A383" t="s">
        <v>74</v>
      </c>
      <c r="B383" t="s">
        <v>510</v>
      </c>
      <c r="C383" t="s">
        <v>517</v>
      </c>
      <c r="D383" t="s">
        <v>306</v>
      </c>
      <c r="E383" s="6">
        <v>54484</v>
      </c>
      <c r="F383" s="6">
        <v>0</v>
      </c>
      <c r="G383" s="6">
        <v>14426</v>
      </c>
      <c r="H383">
        <v>2018</v>
      </c>
    </row>
    <row r="384" spans="1:8">
      <c r="A384" t="s">
        <v>76</v>
      </c>
      <c r="B384" t="s">
        <v>518</v>
      </c>
      <c r="C384" t="s">
        <v>519</v>
      </c>
      <c r="D384" t="s">
        <v>320</v>
      </c>
      <c r="E384" s="6">
        <v>120000</v>
      </c>
      <c r="F384" s="6">
        <v>0</v>
      </c>
      <c r="G384" s="6">
        <v>36199</v>
      </c>
      <c r="H384">
        <v>2023</v>
      </c>
    </row>
    <row r="385" spans="1:8">
      <c r="A385" t="s">
        <v>76</v>
      </c>
      <c r="B385" t="s">
        <v>518</v>
      </c>
      <c r="C385" t="s">
        <v>520</v>
      </c>
      <c r="D385" t="s">
        <v>308</v>
      </c>
      <c r="E385" s="6">
        <v>0</v>
      </c>
      <c r="F385" s="6">
        <v>0</v>
      </c>
      <c r="G385" s="6">
        <v>0</v>
      </c>
      <c r="H385">
        <v>2023</v>
      </c>
    </row>
    <row r="386" spans="1:8">
      <c r="A386" t="s">
        <v>76</v>
      </c>
      <c r="B386" t="s">
        <v>518</v>
      </c>
      <c r="C386" t="s">
        <v>521</v>
      </c>
      <c r="D386" t="s">
        <v>308</v>
      </c>
      <c r="E386" s="6">
        <v>0</v>
      </c>
      <c r="F386" s="6">
        <v>0</v>
      </c>
      <c r="G386" s="6">
        <v>0</v>
      </c>
      <c r="H386">
        <v>2023</v>
      </c>
    </row>
    <row r="387" spans="1:8">
      <c r="A387" t="s">
        <v>76</v>
      </c>
      <c r="B387" t="s">
        <v>518</v>
      </c>
      <c r="C387" t="s">
        <v>519</v>
      </c>
      <c r="D387" t="s">
        <v>320</v>
      </c>
      <c r="E387" s="6">
        <v>120000</v>
      </c>
      <c r="F387" s="6">
        <v>0</v>
      </c>
      <c r="G387" s="6">
        <v>35450</v>
      </c>
      <c r="H387">
        <v>2022</v>
      </c>
    </row>
    <row r="388" spans="1:8">
      <c r="A388" t="s">
        <v>76</v>
      </c>
      <c r="B388" t="s">
        <v>518</v>
      </c>
      <c r="C388" t="s">
        <v>520</v>
      </c>
      <c r="D388" t="s">
        <v>308</v>
      </c>
      <c r="E388" s="6">
        <v>0</v>
      </c>
      <c r="F388" s="6">
        <v>0</v>
      </c>
      <c r="G388" s="6">
        <v>0</v>
      </c>
      <c r="H388">
        <v>2022</v>
      </c>
    </row>
    <row r="389" spans="1:8">
      <c r="A389" t="s">
        <v>76</v>
      </c>
      <c r="B389" t="s">
        <v>518</v>
      </c>
      <c r="C389" t="s">
        <v>521</v>
      </c>
      <c r="D389" t="s">
        <v>308</v>
      </c>
      <c r="E389" s="6">
        <v>0</v>
      </c>
      <c r="F389" s="6">
        <v>0</v>
      </c>
      <c r="G389" s="6">
        <v>0</v>
      </c>
      <c r="H389">
        <v>2022</v>
      </c>
    </row>
    <row r="390" spans="1:8">
      <c r="A390" t="s">
        <v>76</v>
      </c>
      <c r="B390" t="s">
        <v>518</v>
      </c>
      <c r="C390" t="s">
        <v>519</v>
      </c>
      <c r="D390" t="s">
        <v>320</v>
      </c>
      <c r="E390" s="6">
        <v>120000</v>
      </c>
      <c r="F390" s="6">
        <v>0</v>
      </c>
      <c r="G390" s="6">
        <v>35300</v>
      </c>
      <c r="H390">
        <v>2021</v>
      </c>
    </row>
    <row r="391" spans="1:8">
      <c r="A391" t="s">
        <v>76</v>
      </c>
      <c r="B391" t="s">
        <v>518</v>
      </c>
      <c r="C391" t="s">
        <v>520</v>
      </c>
      <c r="D391" t="s">
        <v>308</v>
      </c>
      <c r="E391" s="6">
        <v>0</v>
      </c>
      <c r="F391" s="6">
        <v>0</v>
      </c>
      <c r="G391" s="6">
        <v>0</v>
      </c>
      <c r="H391">
        <v>2021</v>
      </c>
    </row>
    <row r="392" spans="1:8">
      <c r="A392" t="s">
        <v>76</v>
      </c>
      <c r="B392" t="s">
        <v>518</v>
      </c>
      <c r="C392" t="s">
        <v>521</v>
      </c>
      <c r="D392" t="s">
        <v>308</v>
      </c>
      <c r="E392" s="6">
        <v>0</v>
      </c>
      <c r="F392" s="6">
        <v>0</v>
      </c>
      <c r="G392" s="6">
        <v>0</v>
      </c>
      <c r="H392">
        <v>2021</v>
      </c>
    </row>
    <row r="393" spans="1:8">
      <c r="A393" t="s">
        <v>76</v>
      </c>
      <c r="B393" t="s">
        <v>518</v>
      </c>
      <c r="C393" t="s">
        <v>519</v>
      </c>
      <c r="D393" t="s">
        <v>320</v>
      </c>
      <c r="E393" s="6">
        <v>120000</v>
      </c>
      <c r="F393" s="6">
        <v>0</v>
      </c>
      <c r="G393" s="6">
        <v>35250</v>
      </c>
      <c r="H393">
        <v>2020</v>
      </c>
    </row>
    <row r="394" spans="1:8">
      <c r="A394" t="s">
        <v>76</v>
      </c>
      <c r="B394" t="s">
        <v>518</v>
      </c>
      <c r="C394" t="s">
        <v>520</v>
      </c>
      <c r="D394" t="s">
        <v>308</v>
      </c>
      <c r="E394" s="6">
        <v>0</v>
      </c>
      <c r="F394" s="6">
        <v>0</v>
      </c>
      <c r="G394" s="6">
        <v>0</v>
      </c>
      <c r="H394">
        <v>2020</v>
      </c>
    </row>
    <row r="395" spans="1:8">
      <c r="A395" t="s">
        <v>76</v>
      </c>
      <c r="B395" t="s">
        <v>518</v>
      </c>
      <c r="C395" t="s">
        <v>521</v>
      </c>
      <c r="D395" t="s">
        <v>308</v>
      </c>
      <c r="E395" s="6">
        <v>0</v>
      </c>
      <c r="F395" s="6">
        <v>0</v>
      </c>
      <c r="G395" s="6">
        <v>0</v>
      </c>
      <c r="H395">
        <v>2020</v>
      </c>
    </row>
    <row r="396" spans="1:8">
      <c r="A396" t="s">
        <v>76</v>
      </c>
      <c r="B396" t="s">
        <v>518</v>
      </c>
      <c r="C396" t="s">
        <v>519</v>
      </c>
      <c r="D396" t="s">
        <v>320</v>
      </c>
      <c r="E396" s="6">
        <v>120000</v>
      </c>
      <c r="F396" s="6">
        <v>0</v>
      </c>
      <c r="G396" s="6">
        <v>16324</v>
      </c>
      <c r="H396">
        <v>2019</v>
      </c>
    </row>
    <row r="397" spans="1:8">
      <c r="A397" t="s">
        <v>76</v>
      </c>
      <c r="B397" t="s">
        <v>518</v>
      </c>
      <c r="C397" t="s">
        <v>520</v>
      </c>
      <c r="D397" t="s">
        <v>308</v>
      </c>
      <c r="E397" s="6">
        <v>0</v>
      </c>
      <c r="F397" s="6">
        <v>0</v>
      </c>
      <c r="G397" s="6">
        <v>0</v>
      </c>
      <c r="H397">
        <v>2019</v>
      </c>
    </row>
    <row r="398" spans="1:8">
      <c r="A398" t="s">
        <v>76</v>
      </c>
      <c r="B398" t="s">
        <v>518</v>
      </c>
      <c r="C398" t="s">
        <v>521</v>
      </c>
      <c r="D398" t="s">
        <v>308</v>
      </c>
      <c r="E398" s="6">
        <v>0</v>
      </c>
      <c r="F398" s="6">
        <v>0</v>
      </c>
      <c r="G398" s="6">
        <v>0</v>
      </c>
      <c r="H398">
        <v>2019</v>
      </c>
    </row>
    <row r="399" spans="1:8">
      <c r="A399" t="s">
        <v>76</v>
      </c>
      <c r="B399" t="s">
        <v>518</v>
      </c>
      <c r="C399" t="s">
        <v>519</v>
      </c>
      <c r="D399" t="s">
        <v>320</v>
      </c>
      <c r="E399" s="6">
        <v>120000</v>
      </c>
      <c r="F399" s="6">
        <v>0</v>
      </c>
      <c r="G399" s="6">
        <v>5050</v>
      </c>
      <c r="H399">
        <v>2018</v>
      </c>
    </row>
    <row r="400" spans="1:8">
      <c r="A400" t="s">
        <v>76</v>
      </c>
      <c r="B400" t="s">
        <v>518</v>
      </c>
      <c r="C400" t="s">
        <v>520</v>
      </c>
      <c r="D400" t="s">
        <v>308</v>
      </c>
      <c r="E400" s="6">
        <v>0</v>
      </c>
      <c r="F400" s="6">
        <v>0</v>
      </c>
      <c r="G400" s="6">
        <v>0</v>
      </c>
      <c r="H400">
        <v>2018</v>
      </c>
    </row>
    <row r="401" spans="1:8">
      <c r="A401" t="s">
        <v>76</v>
      </c>
      <c r="B401" t="s">
        <v>518</v>
      </c>
      <c r="C401" t="s">
        <v>521</v>
      </c>
      <c r="D401" t="s">
        <v>308</v>
      </c>
      <c r="E401" s="6">
        <v>0</v>
      </c>
      <c r="F401" s="6">
        <v>0</v>
      </c>
      <c r="G401" s="6">
        <v>0</v>
      </c>
      <c r="H401">
        <v>2018</v>
      </c>
    </row>
    <row r="402" spans="1:8">
      <c r="A402" t="s">
        <v>76</v>
      </c>
      <c r="B402" t="s">
        <v>518</v>
      </c>
      <c r="C402" t="s">
        <v>519</v>
      </c>
      <c r="D402" t="s">
        <v>320</v>
      </c>
      <c r="E402" s="6">
        <v>85872</v>
      </c>
      <c r="F402" s="6">
        <v>0</v>
      </c>
      <c r="G402" s="6">
        <v>4115</v>
      </c>
      <c r="H402">
        <v>2017</v>
      </c>
    </row>
    <row r="403" spans="1:8">
      <c r="A403" t="s">
        <v>76</v>
      </c>
      <c r="B403" t="s">
        <v>518</v>
      </c>
      <c r="C403" t="s">
        <v>520</v>
      </c>
      <c r="D403" t="s">
        <v>308</v>
      </c>
      <c r="E403" s="6">
        <v>0</v>
      </c>
      <c r="F403" s="6">
        <v>0</v>
      </c>
      <c r="G403" s="6">
        <v>0</v>
      </c>
      <c r="H403">
        <v>2017</v>
      </c>
    </row>
    <row r="404" spans="1:8">
      <c r="A404" t="s">
        <v>76</v>
      </c>
      <c r="B404" t="s">
        <v>518</v>
      </c>
      <c r="C404" t="s">
        <v>521</v>
      </c>
      <c r="D404" t="s">
        <v>308</v>
      </c>
      <c r="E404" s="6">
        <v>0</v>
      </c>
      <c r="F404" s="6">
        <v>0</v>
      </c>
      <c r="G404" s="6">
        <v>0</v>
      </c>
      <c r="H404">
        <v>2017</v>
      </c>
    </row>
    <row r="405" spans="1:8">
      <c r="A405" t="s">
        <v>76</v>
      </c>
      <c r="B405" t="s">
        <v>518</v>
      </c>
      <c r="C405" t="s">
        <v>519</v>
      </c>
      <c r="D405" t="s">
        <v>320</v>
      </c>
      <c r="E405" s="6">
        <v>77544</v>
      </c>
      <c r="F405" s="6">
        <v>0</v>
      </c>
      <c r="G405" s="6">
        <v>0</v>
      </c>
      <c r="H405">
        <v>2016</v>
      </c>
    </row>
    <row r="406" spans="1:8">
      <c r="A406" t="s">
        <v>76</v>
      </c>
      <c r="B406" t="s">
        <v>518</v>
      </c>
      <c r="C406" t="s">
        <v>520</v>
      </c>
      <c r="D406" t="s">
        <v>308</v>
      </c>
      <c r="E406" s="6">
        <v>0</v>
      </c>
      <c r="F406" s="6">
        <v>0</v>
      </c>
      <c r="G406" s="6">
        <v>0</v>
      </c>
      <c r="H406">
        <v>2016</v>
      </c>
    </row>
    <row r="407" spans="1:8">
      <c r="A407" t="s">
        <v>76</v>
      </c>
      <c r="B407" t="s">
        <v>518</v>
      </c>
      <c r="C407" t="s">
        <v>522</v>
      </c>
      <c r="D407" t="s">
        <v>310</v>
      </c>
      <c r="E407" s="6">
        <v>0</v>
      </c>
      <c r="F407" s="6">
        <v>0</v>
      </c>
      <c r="G407" s="6">
        <v>0</v>
      </c>
      <c r="H407">
        <v>2015</v>
      </c>
    </row>
    <row r="408" spans="1:8">
      <c r="A408" t="s">
        <v>78</v>
      </c>
      <c r="B408" t="s">
        <v>77</v>
      </c>
      <c r="C408" t="s">
        <v>523</v>
      </c>
      <c r="D408" t="s">
        <v>306</v>
      </c>
      <c r="E408" s="6">
        <v>78464</v>
      </c>
      <c r="F408" s="6">
        <v>0</v>
      </c>
      <c r="G408" s="6">
        <v>0</v>
      </c>
      <c r="H408">
        <v>2023</v>
      </c>
    </row>
    <row r="409" spans="1:8">
      <c r="A409" t="s">
        <v>78</v>
      </c>
      <c r="B409" t="s">
        <v>77</v>
      </c>
      <c r="C409" t="s">
        <v>524</v>
      </c>
      <c r="D409" t="s">
        <v>525</v>
      </c>
      <c r="E409" s="6">
        <v>0</v>
      </c>
      <c r="F409" s="6">
        <v>0</v>
      </c>
      <c r="G409" s="6">
        <v>0</v>
      </c>
      <c r="H409">
        <v>2023</v>
      </c>
    </row>
    <row r="410" spans="1:8">
      <c r="A410" t="s">
        <v>78</v>
      </c>
      <c r="B410" t="s">
        <v>77</v>
      </c>
      <c r="C410" t="s">
        <v>526</v>
      </c>
      <c r="D410" t="s">
        <v>527</v>
      </c>
      <c r="E410" s="6">
        <v>0</v>
      </c>
      <c r="F410" s="6">
        <v>0</v>
      </c>
      <c r="G410" s="6">
        <v>0</v>
      </c>
      <c r="H410">
        <v>2023</v>
      </c>
    </row>
    <row r="411" spans="1:8">
      <c r="A411" t="s">
        <v>78</v>
      </c>
      <c r="B411" t="s">
        <v>77</v>
      </c>
      <c r="C411" t="s">
        <v>523</v>
      </c>
      <c r="D411" t="s">
        <v>306</v>
      </c>
      <c r="E411" s="6">
        <v>68190</v>
      </c>
      <c r="F411" s="6">
        <v>0</v>
      </c>
      <c r="G411" s="6">
        <v>0</v>
      </c>
      <c r="H411">
        <v>2022</v>
      </c>
    </row>
    <row r="412" spans="1:8">
      <c r="A412" t="s">
        <v>78</v>
      </c>
      <c r="B412" t="s">
        <v>77</v>
      </c>
      <c r="C412" t="s">
        <v>528</v>
      </c>
      <c r="D412" t="s">
        <v>529</v>
      </c>
      <c r="E412" s="6">
        <v>0</v>
      </c>
      <c r="F412" s="6">
        <v>0</v>
      </c>
      <c r="G412" s="6">
        <v>0</v>
      </c>
      <c r="H412">
        <v>2022</v>
      </c>
    </row>
    <row r="413" spans="1:8">
      <c r="A413" t="s">
        <v>78</v>
      </c>
      <c r="B413" t="s">
        <v>77</v>
      </c>
      <c r="C413" t="s">
        <v>526</v>
      </c>
      <c r="D413" t="s">
        <v>308</v>
      </c>
      <c r="E413" s="6">
        <v>0</v>
      </c>
      <c r="F413" s="6">
        <v>0</v>
      </c>
      <c r="G413" s="6">
        <v>0</v>
      </c>
      <c r="H413">
        <v>2022</v>
      </c>
    </row>
    <row r="414" spans="1:8">
      <c r="A414" t="s">
        <v>78</v>
      </c>
      <c r="B414" t="s">
        <v>77</v>
      </c>
      <c r="C414" t="s">
        <v>523</v>
      </c>
      <c r="D414" t="s">
        <v>306</v>
      </c>
      <c r="E414" s="6">
        <v>58885</v>
      </c>
      <c r="F414" s="6">
        <v>0</v>
      </c>
      <c r="G414" s="6">
        <v>2792</v>
      </c>
      <c r="H414">
        <v>2021</v>
      </c>
    </row>
    <row r="415" spans="1:8">
      <c r="A415" t="s">
        <v>78</v>
      </c>
      <c r="B415" t="s">
        <v>77</v>
      </c>
      <c r="C415" t="s">
        <v>528</v>
      </c>
      <c r="D415" t="s">
        <v>529</v>
      </c>
      <c r="E415" s="6">
        <v>0</v>
      </c>
      <c r="F415" s="6">
        <v>0</v>
      </c>
      <c r="G415" s="6">
        <v>0</v>
      </c>
      <c r="H415">
        <v>2021</v>
      </c>
    </row>
    <row r="416" spans="1:8">
      <c r="A416" t="s">
        <v>78</v>
      </c>
      <c r="B416" t="s">
        <v>77</v>
      </c>
      <c r="C416" t="s">
        <v>526</v>
      </c>
      <c r="D416" t="s">
        <v>308</v>
      </c>
      <c r="E416" s="6">
        <v>0</v>
      </c>
      <c r="F416" s="6">
        <v>0</v>
      </c>
      <c r="G416" s="6">
        <v>0</v>
      </c>
      <c r="H416">
        <v>2021</v>
      </c>
    </row>
    <row r="417" spans="1:8">
      <c r="A417" t="s">
        <v>78</v>
      </c>
      <c r="B417" t="s">
        <v>77</v>
      </c>
      <c r="C417" t="s">
        <v>523</v>
      </c>
      <c r="D417" t="s">
        <v>306</v>
      </c>
      <c r="E417" s="6">
        <v>61429</v>
      </c>
      <c r="F417" s="6">
        <v>0</v>
      </c>
      <c r="G417" s="6">
        <v>1081</v>
      </c>
      <c r="H417">
        <v>2020</v>
      </c>
    </row>
    <row r="418" spans="1:8">
      <c r="A418" t="s">
        <v>78</v>
      </c>
      <c r="B418" t="s">
        <v>77</v>
      </c>
      <c r="C418" t="s">
        <v>530</v>
      </c>
      <c r="D418" t="s">
        <v>531</v>
      </c>
      <c r="E418" s="6">
        <v>21425</v>
      </c>
      <c r="F418" s="6">
        <v>0</v>
      </c>
      <c r="G418" s="6">
        <v>0</v>
      </c>
      <c r="H418">
        <v>2020</v>
      </c>
    </row>
    <row r="419" spans="1:8">
      <c r="A419" t="s">
        <v>78</v>
      </c>
      <c r="B419" t="s">
        <v>77</v>
      </c>
      <c r="C419" t="s">
        <v>532</v>
      </c>
      <c r="D419" t="s">
        <v>308</v>
      </c>
      <c r="E419" s="6">
        <v>0</v>
      </c>
      <c r="F419" s="6">
        <v>0</v>
      </c>
      <c r="G419" s="6">
        <v>0</v>
      </c>
      <c r="H419">
        <v>2020</v>
      </c>
    </row>
    <row r="420" spans="1:8">
      <c r="A420" t="s">
        <v>78</v>
      </c>
      <c r="B420" t="s">
        <v>77</v>
      </c>
      <c r="C420" t="s">
        <v>533</v>
      </c>
      <c r="D420" t="s">
        <v>306</v>
      </c>
      <c r="E420" s="6">
        <v>45000</v>
      </c>
      <c r="F420" s="6">
        <v>0</v>
      </c>
      <c r="G420" s="6">
        <v>0</v>
      </c>
      <c r="H420">
        <v>2019</v>
      </c>
    </row>
    <row r="421" spans="1:8">
      <c r="A421" t="s">
        <v>78</v>
      </c>
      <c r="B421" t="s">
        <v>77</v>
      </c>
      <c r="C421" t="s">
        <v>528</v>
      </c>
      <c r="D421" t="s">
        <v>312</v>
      </c>
      <c r="E421" s="6">
        <v>0</v>
      </c>
      <c r="F421" s="6">
        <v>0</v>
      </c>
      <c r="G421" s="6">
        <v>0</v>
      </c>
      <c r="H421">
        <v>2019</v>
      </c>
    </row>
    <row r="422" spans="1:8">
      <c r="A422" t="s">
        <v>78</v>
      </c>
      <c r="B422" t="s">
        <v>77</v>
      </c>
      <c r="C422" t="s">
        <v>534</v>
      </c>
      <c r="D422" t="s">
        <v>315</v>
      </c>
      <c r="E422" s="6">
        <v>0</v>
      </c>
      <c r="F422" s="6">
        <v>0</v>
      </c>
      <c r="G422" s="6">
        <v>0</v>
      </c>
      <c r="H422">
        <v>2019</v>
      </c>
    </row>
    <row r="423" spans="1:8">
      <c r="A423" t="s">
        <v>80</v>
      </c>
      <c r="B423" t="s">
        <v>535</v>
      </c>
      <c r="C423" t="s">
        <v>536</v>
      </c>
      <c r="D423" t="s">
        <v>366</v>
      </c>
      <c r="E423" s="6">
        <v>0</v>
      </c>
      <c r="F423" s="6">
        <v>0</v>
      </c>
      <c r="G423" s="6">
        <v>0</v>
      </c>
      <c r="H423">
        <v>2023</v>
      </c>
    </row>
    <row r="424" spans="1:8">
      <c r="A424" t="s">
        <v>80</v>
      </c>
      <c r="B424" t="s">
        <v>535</v>
      </c>
      <c r="C424" t="s">
        <v>537</v>
      </c>
      <c r="D424" t="s">
        <v>310</v>
      </c>
      <c r="E424" s="6">
        <v>0</v>
      </c>
      <c r="F424" s="6">
        <v>0</v>
      </c>
      <c r="G424" s="6">
        <v>0</v>
      </c>
      <c r="H424">
        <v>2023</v>
      </c>
    </row>
    <row r="425" spans="1:8">
      <c r="A425" t="s">
        <v>80</v>
      </c>
      <c r="B425" t="s">
        <v>535</v>
      </c>
      <c r="C425" t="s">
        <v>538</v>
      </c>
      <c r="D425" t="s">
        <v>326</v>
      </c>
      <c r="E425" s="6">
        <v>0</v>
      </c>
      <c r="F425" s="6">
        <v>0</v>
      </c>
      <c r="G425" s="6">
        <v>0</v>
      </c>
      <c r="H425">
        <v>2023</v>
      </c>
    </row>
    <row r="426" spans="1:8">
      <c r="A426" t="s">
        <v>80</v>
      </c>
      <c r="B426" t="s">
        <v>535</v>
      </c>
      <c r="C426" t="s">
        <v>536</v>
      </c>
      <c r="D426" t="s">
        <v>366</v>
      </c>
      <c r="E426" s="6">
        <v>0</v>
      </c>
      <c r="F426" s="6">
        <v>0</v>
      </c>
      <c r="G426" s="6">
        <v>0</v>
      </c>
      <c r="H426">
        <v>2022</v>
      </c>
    </row>
    <row r="427" spans="1:8">
      <c r="A427" t="s">
        <v>80</v>
      </c>
      <c r="B427" t="s">
        <v>535</v>
      </c>
      <c r="C427" t="s">
        <v>537</v>
      </c>
      <c r="D427" t="s">
        <v>310</v>
      </c>
      <c r="E427" s="6">
        <v>0</v>
      </c>
      <c r="F427" s="6">
        <v>0</v>
      </c>
      <c r="G427" s="6">
        <v>0</v>
      </c>
      <c r="H427">
        <v>2022</v>
      </c>
    </row>
    <row r="428" spans="1:8">
      <c r="A428" t="s">
        <v>80</v>
      </c>
      <c r="B428" t="s">
        <v>535</v>
      </c>
      <c r="C428" t="s">
        <v>538</v>
      </c>
      <c r="D428" t="s">
        <v>326</v>
      </c>
      <c r="E428" s="6">
        <v>0</v>
      </c>
      <c r="F428" s="6">
        <v>0</v>
      </c>
      <c r="G428" s="6">
        <v>0</v>
      </c>
      <c r="H428">
        <v>2022</v>
      </c>
    </row>
    <row r="429" spans="1:8">
      <c r="A429" t="s">
        <v>80</v>
      </c>
      <c r="B429" t="s">
        <v>535</v>
      </c>
      <c r="C429" t="s">
        <v>536</v>
      </c>
      <c r="D429" t="s">
        <v>366</v>
      </c>
      <c r="E429" s="6">
        <v>0</v>
      </c>
      <c r="F429" s="6">
        <v>0</v>
      </c>
      <c r="G429" s="6">
        <v>0</v>
      </c>
      <c r="H429">
        <v>2021</v>
      </c>
    </row>
    <row r="430" spans="1:8">
      <c r="A430" t="s">
        <v>80</v>
      </c>
      <c r="B430" t="s">
        <v>535</v>
      </c>
      <c r="C430" t="s">
        <v>537</v>
      </c>
      <c r="D430" t="s">
        <v>310</v>
      </c>
      <c r="E430" s="6">
        <v>0</v>
      </c>
      <c r="F430" s="6">
        <v>0</v>
      </c>
      <c r="G430" s="6">
        <v>0</v>
      </c>
      <c r="H430">
        <v>2021</v>
      </c>
    </row>
    <row r="431" spans="1:8">
      <c r="A431" t="s">
        <v>80</v>
      </c>
      <c r="B431" t="s">
        <v>535</v>
      </c>
      <c r="C431" t="s">
        <v>538</v>
      </c>
      <c r="D431" t="s">
        <v>326</v>
      </c>
      <c r="E431" s="6">
        <v>0</v>
      </c>
      <c r="F431" s="6">
        <v>0</v>
      </c>
      <c r="G431" s="6">
        <v>0</v>
      </c>
      <c r="H431">
        <v>2021</v>
      </c>
    </row>
    <row r="432" spans="1:8">
      <c r="A432" t="s">
        <v>80</v>
      </c>
      <c r="B432" t="s">
        <v>535</v>
      </c>
      <c r="C432" t="s">
        <v>536</v>
      </c>
      <c r="D432" t="s">
        <v>366</v>
      </c>
      <c r="E432" s="6">
        <v>0</v>
      </c>
      <c r="F432" s="6">
        <v>0</v>
      </c>
      <c r="G432" s="6">
        <v>0</v>
      </c>
      <c r="H432">
        <v>2020</v>
      </c>
    </row>
    <row r="433" spans="1:8">
      <c r="A433" t="s">
        <v>80</v>
      </c>
      <c r="B433" t="s">
        <v>535</v>
      </c>
      <c r="C433" t="s">
        <v>537</v>
      </c>
      <c r="D433" t="s">
        <v>310</v>
      </c>
      <c r="E433" s="6">
        <v>0</v>
      </c>
      <c r="F433" s="6">
        <v>0</v>
      </c>
      <c r="G433" s="6">
        <v>0</v>
      </c>
      <c r="H433">
        <v>2020</v>
      </c>
    </row>
    <row r="434" spans="1:8">
      <c r="A434" t="s">
        <v>80</v>
      </c>
      <c r="B434" t="s">
        <v>535</v>
      </c>
      <c r="C434" t="s">
        <v>539</v>
      </c>
      <c r="D434" t="s">
        <v>326</v>
      </c>
      <c r="E434" s="6">
        <v>0</v>
      </c>
      <c r="F434" s="6">
        <v>0</v>
      </c>
      <c r="G434" s="6">
        <v>0</v>
      </c>
      <c r="H434">
        <v>2020</v>
      </c>
    </row>
    <row r="435" spans="1:8">
      <c r="A435" t="s">
        <v>80</v>
      </c>
      <c r="B435" t="s">
        <v>535</v>
      </c>
      <c r="C435" t="s">
        <v>536</v>
      </c>
      <c r="D435" t="s">
        <v>366</v>
      </c>
      <c r="E435" s="6">
        <v>0</v>
      </c>
      <c r="F435" s="6">
        <v>0</v>
      </c>
      <c r="G435" s="6">
        <v>0</v>
      </c>
      <c r="H435">
        <v>2019</v>
      </c>
    </row>
    <row r="436" spans="1:8">
      <c r="A436" t="s">
        <v>80</v>
      </c>
      <c r="B436" t="s">
        <v>535</v>
      </c>
      <c r="C436" t="s">
        <v>537</v>
      </c>
      <c r="D436" t="s">
        <v>310</v>
      </c>
      <c r="E436" s="6">
        <v>0</v>
      </c>
      <c r="F436" s="6">
        <v>0</v>
      </c>
      <c r="G436" s="6">
        <v>0</v>
      </c>
      <c r="H436">
        <v>2019</v>
      </c>
    </row>
    <row r="437" spans="1:8">
      <c r="A437" t="s">
        <v>80</v>
      </c>
      <c r="B437" t="s">
        <v>535</v>
      </c>
      <c r="C437" t="s">
        <v>539</v>
      </c>
      <c r="D437" t="s">
        <v>326</v>
      </c>
      <c r="E437" s="6">
        <v>0</v>
      </c>
      <c r="F437" s="6">
        <v>0</v>
      </c>
      <c r="G437" s="6">
        <v>0</v>
      </c>
      <c r="H437">
        <v>2019</v>
      </c>
    </row>
    <row r="438" spans="1:8">
      <c r="A438" t="s">
        <v>82</v>
      </c>
      <c r="B438" t="s">
        <v>540</v>
      </c>
      <c r="C438" t="s">
        <v>541</v>
      </c>
      <c r="D438" t="s">
        <v>306</v>
      </c>
      <c r="E438" s="6">
        <v>127865</v>
      </c>
      <c r="F438" s="6">
        <v>0</v>
      </c>
      <c r="G438" s="6">
        <v>0</v>
      </c>
      <c r="H438">
        <v>2023</v>
      </c>
    </row>
    <row r="439" spans="1:8">
      <c r="A439" t="s">
        <v>82</v>
      </c>
      <c r="B439" t="s">
        <v>540</v>
      </c>
      <c r="C439" t="s">
        <v>541</v>
      </c>
      <c r="D439" t="s">
        <v>306</v>
      </c>
      <c r="E439" s="6">
        <v>125009</v>
      </c>
      <c r="F439" s="6">
        <v>0</v>
      </c>
      <c r="G439" s="6">
        <v>0</v>
      </c>
      <c r="H439">
        <v>2022</v>
      </c>
    </row>
    <row r="440" spans="1:8">
      <c r="A440" t="s">
        <v>82</v>
      </c>
      <c r="B440" t="s">
        <v>540</v>
      </c>
      <c r="C440" t="s">
        <v>542</v>
      </c>
      <c r="D440" t="s">
        <v>306</v>
      </c>
      <c r="E440" s="6">
        <v>96710</v>
      </c>
      <c r="F440" s="6">
        <v>0</v>
      </c>
      <c r="G440" s="6">
        <v>0</v>
      </c>
      <c r="H440">
        <v>2021</v>
      </c>
    </row>
    <row r="441" spans="1:8">
      <c r="A441" t="s">
        <v>82</v>
      </c>
      <c r="B441" t="s">
        <v>540</v>
      </c>
      <c r="C441" t="s">
        <v>542</v>
      </c>
      <c r="D441" t="s">
        <v>306</v>
      </c>
      <c r="E441" s="6">
        <v>91124</v>
      </c>
      <c r="F441" s="6">
        <v>0</v>
      </c>
      <c r="G441" s="6">
        <v>0</v>
      </c>
      <c r="H441">
        <v>2020</v>
      </c>
    </row>
    <row r="442" spans="1:8">
      <c r="A442" t="s">
        <v>82</v>
      </c>
      <c r="B442" t="s">
        <v>540</v>
      </c>
      <c r="C442" t="s">
        <v>543</v>
      </c>
      <c r="D442" t="s">
        <v>306</v>
      </c>
      <c r="E442" s="6">
        <v>86039</v>
      </c>
      <c r="F442" s="6">
        <v>0</v>
      </c>
      <c r="G442" s="6">
        <v>0</v>
      </c>
      <c r="H442">
        <v>2019</v>
      </c>
    </row>
    <row r="443" spans="1:8">
      <c r="A443" t="s">
        <v>82</v>
      </c>
      <c r="B443" t="s">
        <v>540</v>
      </c>
      <c r="C443" t="s">
        <v>543</v>
      </c>
      <c r="D443" t="s">
        <v>306</v>
      </c>
      <c r="E443" s="6">
        <v>85372</v>
      </c>
      <c r="F443" s="6">
        <v>0</v>
      </c>
      <c r="G443" s="6">
        <v>0</v>
      </c>
      <c r="H443">
        <v>2018</v>
      </c>
    </row>
    <row r="444" spans="1:8">
      <c r="A444" t="s">
        <v>82</v>
      </c>
      <c r="B444" t="s">
        <v>540</v>
      </c>
      <c r="C444" t="s">
        <v>543</v>
      </c>
      <c r="D444" t="s">
        <v>306</v>
      </c>
      <c r="E444" s="6">
        <v>84033</v>
      </c>
      <c r="F444" s="6">
        <v>0</v>
      </c>
      <c r="G444" s="6">
        <v>0</v>
      </c>
      <c r="H444">
        <v>2017</v>
      </c>
    </row>
    <row r="445" spans="1:8">
      <c r="A445" t="s">
        <v>82</v>
      </c>
      <c r="B445" t="s">
        <v>540</v>
      </c>
      <c r="C445" t="s">
        <v>543</v>
      </c>
      <c r="D445" t="s">
        <v>306</v>
      </c>
      <c r="E445" s="6">
        <v>72834</v>
      </c>
      <c r="F445" s="6">
        <v>0</v>
      </c>
      <c r="G445" s="6">
        <v>0</v>
      </c>
      <c r="H445">
        <v>2016</v>
      </c>
    </row>
    <row r="446" spans="1:8">
      <c r="A446" t="s">
        <v>82</v>
      </c>
      <c r="B446" t="s">
        <v>540</v>
      </c>
      <c r="C446" t="s">
        <v>543</v>
      </c>
      <c r="D446" t="s">
        <v>306</v>
      </c>
      <c r="E446" s="6">
        <v>60828</v>
      </c>
      <c r="F446" s="6">
        <v>0</v>
      </c>
      <c r="G446" s="6">
        <v>0</v>
      </c>
      <c r="H446">
        <v>2015</v>
      </c>
    </row>
    <row r="447" spans="1:8">
      <c r="A447" t="s">
        <v>82</v>
      </c>
      <c r="B447" t="s">
        <v>540</v>
      </c>
      <c r="C447" t="s">
        <v>543</v>
      </c>
      <c r="D447" t="s">
        <v>306</v>
      </c>
      <c r="E447" s="6">
        <v>60713</v>
      </c>
      <c r="F447" s="6">
        <v>0</v>
      </c>
      <c r="G447" s="6">
        <v>0</v>
      </c>
      <c r="H447">
        <v>2014</v>
      </c>
    </row>
    <row r="448" spans="1:8">
      <c r="A448" t="s">
        <v>85</v>
      </c>
      <c r="B448" t="s">
        <v>544</v>
      </c>
      <c r="C448" t="s">
        <v>545</v>
      </c>
      <c r="D448" t="s">
        <v>546</v>
      </c>
      <c r="E448" s="6">
        <v>212654</v>
      </c>
      <c r="F448" s="6">
        <v>0</v>
      </c>
      <c r="G448" s="6">
        <v>20664</v>
      </c>
      <c r="H448">
        <v>2023</v>
      </c>
    </row>
    <row r="449" spans="1:8">
      <c r="A449" t="s">
        <v>85</v>
      </c>
      <c r="B449" t="s">
        <v>544</v>
      </c>
      <c r="C449" t="s">
        <v>547</v>
      </c>
      <c r="D449" t="s">
        <v>548</v>
      </c>
      <c r="E449" s="6">
        <v>146369</v>
      </c>
      <c r="F449" s="6">
        <v>74106</v>
      </c>
      <c r="G449" s="6">
        <v>11795</v>
      </c>
      <c r="H449">
        <v>2023</v>
      </c>
    </row>
    <row r="450" spans="1:8">
      <c r="A450" t="s">
        <v>85</v>
      </c>
      <c r="B450" t="s">
        <v>544</v>
      </c>
      <c r="C450" t="s">
        <v>549</v>
      </c>
      <c r="D450" t="s">
        <v>550</v>
      </c>
      <c r="E450" s="6">
        <v>28542</v>
      </c>
      <c r="F450" s="6">
        <v>92608</v>
      </c>
      <c r="G450" s="6">
        <v>18424</v>
      </c>
      <c r="H450">
        <v>2023</v>
      </c>
    </row>
    <row r="451" spans="1:8">
      <c r="A451" t="s">
        <v>85</v>
      </c>
      <c r="B451" t="s">
        <v>544</v>
      </c>
      <c r="C451" t="s">
        <v>545</v>
      </c>
      <c r="D451" t="s">
        <v>546</v>
      </c>
      <c r="E451" s="6">
        <v>225346</v>
      </c>
      <c r="F451" s="6">
        <v>0</v>
      </c>
      <c r="G451" s="6">
        <v>0</v>
      </c>
      <c r="H451">
        <v>2022</v>
      </c>
    </row>
    <row r="452" spans="1:8">
      <c r="A452" t="s">
        <v>85</v>
      </c>
      <c r="B452" t="s">
        <v>544</v>
      </c>
      <c r="C452" t="s">
        <v>547</v>
      </c>
      <c r="D452" t="s">
        <v>548</v>
      </c>
      <c r="E452" s="6">
        <v>81292</v>
      </c>
      <c r="F452" s="6">
        <v>108093</v>
      </c>
      <c r="G452" s="6">
        <v>5681</v>
      </c>
      <c r="H452">
        <v>2022</v>
      </c>
    </row>
    <row r="453" spans="1:8">
      <c r="A453" t="s">
        <v>85</v>
      </c>
      <c r="B453" t="s">
        <v>544</v>
      </c>
      <c r="C453" t="s">
        <v>549</v>
      </c>
      <c r="D453" t="s">
        <v>550</v>
      </c>
      <c r="E453" s="6">
        <v>18028</v>
      </c>
      <c r="F453" s="6">
        <v>87895</v>
      </c>
      <c r="G453" s="6">
        <v>3150</v>
      </c>
      <c r="H453">
        <v>2022</v>
      </c>
    </row>
    <row r="454" spans="1:8">
      <c r="A454" t="s">
        <v>85</v>
      </c>
      <c r="B454" t="s">
        <v>544</v>
      </c>
      <c r="C454" t="s">
        <v>545</v>
      </c>
      <c r="D454" t="s">
        <v>546</v>
      </c>
      <c r="E454" s="6">
        <v>47572</v>
      </c>
      <c r="F454" s="6">
        <v>54236</v>
      </c>
      <c r="G454" s="6">
        <v>21620</v>
      </c>
      <c r="H454">
        <v>2021</v>
      </c>
    </row>
    <row r="455" spans="1:8">
      <c r="A455" t="s">
        <v>85</v>
      </c>
      <c r="B455" t="s">
        <v>544</v>
      </c>
      <c r="C455" t="s">
        <v>547</v>
      </c>
      <c r="D455" t="s">
        <v>548</v>
      </c>
      <c r="E455" s="6">
        <v>153349</v>
      </c>
      <c r="F455" s="6">
        <v>39651</v>
      </c>
      <c r="G455" s="6">
        <v>17715</v>
      </c>
      <c r="H455">
        <v>2021</v>
      </c>
    </row>
    <row r="456" spans="1:8">
      <c r="A456" t="s">
        <v>85</v>
      </c>
      <c r="B456" t="s">
        <v>544</v>
      </c>
      <c r="C456" t="s">
        <v>549</v>
      </c>
      <c r="D456" t="s">
        <v>550</v>
      </c>
      <c r="E456" s="6">
        <v>27608</v>
      </c>
      <c r="F456" s="6">
        <v>77892</v>
      </c>
      <c r="G456" s="6">
        <v>3165</v>
      </c>
      <c r="H456">
        <v>2021</v>
      </c>
    </row>
    <row r="457" spans="1:8">
      <c r="A457" t="s">
        <v>85</v>
      </c>
      <c r="B457" t="s">
        <v>544</v>
      </c>
      <c r="C457" t="s">
        <v>547</v>
      </c>
      <c r="D457" t="s">
        <v>548</v>
      </c>
      <c r="E457" s="6">
        <v>109597</v>
      </c>
      <c r="F457" s="6">
        <v>57781</v>
      </c>
      <c r="G457" s="6">
        <v>0</v>
      </c>
      <c r="H457">
        <v>2020</v>
      </c>
    </row>
    <row r="458" spans="1:8">
      <c r="A458" t="s">
        <v>85</v>
      </c>
      <c r="B458" t="s">
        <v>544</v>
      </c>
      <c r="C458" t="s">
        <v>549</v>
      </c>
      <c r="D458" t="s">
        <v>550</v>
      </c>
      <c r="E458" s="6">
        <v>19028</v>
      </c>
      <c r="F458" s="6">
        <v>85857</v>
      </c>
      <c r="G458" s="6">
        <v>0</v>
      </c>
      <c r="H458">
        <v>2020</v>
      </c>
    </row>
    <row r="459" spans="1:8">
      <c r="A459" t="s">
        <v>85</v>
      </c>
      <c r="B459" t="s">
        <v>544</v>
      </c>
      <c r="C459" t="s">
        <v>547</v>
      </c>
      <c r="D459" t="s">
        <v>548</v>
      </c>
      <c r="E459" s="6">
        <v>161466</v>
      </c>
      <c r="F459" s="6">
        <v>0</v>
      </c>
      <c r="G459" s="6">
        <v>3617</v>
      </c>
      <c r="H459">
        <v>2019</v>
      </c>
    </row>
    <row r="460" spans="1:8">
      <c r="A460" t="s">
        <v>85</v>
      </c>
      <c r="B460" t="s">
        <v>544</v>
      </c>
      <c r="C460" t="s">
        <v>551</v>
      </c>
      <c r="D460" t="s">
        <v>312</v>
      </c>
      <c r="E460" s="6">
        <v>0</v>
      </c>
      <c r="F460" s="6">
        <v>0</v>
      </c>
      <c r="G460" s="6">
        <v>0</v>
      </c>
      <c r="H460">
        <v>2019</v>
      </c>
    </row>
    <row r="461" spans="1:8">
      <c r="A461" t="s">
        <v>85</v>
      </c>
      <c r="B461" t="s">
        <v>544</v>
      </c>
      <c r="C461" t="s">
        <v>552</v>
      </c>
      <c r="D461" t="s">
        <v>411</v>
      </c>
      <c r="E461" s="6">
        <v>0</v>
      </c>
      <c r="F461" s="6">
        <v>0</v>
      </c>
      <c r="G461" s="6">
        <v>0</v>
      </c>
      <c r="H461">
        <v>2019</v>
      </c>
    </row>
    <row r="462" spans="1:8">
      <c r="A462" t="s">
        <v>85</v>
      </c>
      <c r="B462" t="s">
        <v>544</v>
      </c>
      <c r="C462" t="s">
        <v>547</v>
      </c>
      <c r="D462" t="s">
        <v>548</v>
      </c>
      <c r="E462" s="6">
        <v>149741</v>
      </c>
      <c r="F462" s="6">
        <v>0</v>
      </c>
      <c r="G462" s="6">
        <v>0</v>
      </c>
      <c r="H462">
        <v>2018</v>
      </c>
    </row>
    <row r="463" spans="1:8">
      <c r="A463" t="s">
        <v>85</v>
      </c>
      <c r="B463" t="s">
        <v>544</v>
      </c>
      <c r="C463" t="s">
        <v>551</v>
      </c>
      <c r="D463" t="s">
        <v>312</v>
      </c>
      <c r="E463" s="6">
        <v>0</v>
      </c>
      <c r="F463" s="6">
        <v>0</v>
      </c>
      <c r="G463" s="6">
        <v>0</v>
      </c>
      <c r="H463">
        <v>2018</v>
      </c>
    </row>
    <row r="464" spans="1:8">
      <c r="A464" t="s">
        <v>85</v>
      </c>
      <c r="B464" t="s">
        <v>544</v>
      </c>
      <c r="C464" t="s">
        <v>552</v>
      </c>
      <c r="D464" t="s">
        <v>411</v>
      </c>
      <c r="E464" s="6">
        <v>0</v>
      </c>
      <c r="F464" s="6">
        <v>0</v>
      </c>
      <c r="G464" s="6">
        <v>0</v>
      </c>
      <c r="H464">
        <v>2018</v>
      </c>
    </row>
    <row r="465" spans="1:8">
      <c r="A465" t="s">
        <v>85</v>
      </c>
      <c r="B465" t="s">
        <v>544</v>
      </c>
      <c r="C465" t="s">
        <v>545</v>
      </c>
      <c r="D465" t="s">
        <v>306</v>
      </c>
      <c r="E465" s="6">
        <v>122778</v>
      </c>
      <c r="F465" s="6">
        <v>0</v>
      </c>
      <c r="G465" s="6">
        <v>0</v>
      </c>
      <c r="H465">
        <v>2017</v>
      </c>
    </row>
    <row r="466" spans="1:8">
      <c r="A466" t="s">
        <v>85</v>
      </c>
      <c r="B466" t="s">
        <v>544</v>
      </c>
      <c r="C466" t="s">
        <v>547</v>
      </c>
      <c r="D466" t="s">
        <v>548</v>
      </c>
      <c r="E466" s="6">
        <v>149740</v>
      </c>
      <c r="F466" s="6">
        <v>0</v>
      </c>
      <c r="G466" s="6">
        <v>0</v>
      </c>
      <c r="H466">
        <v>2017</v>
      </c>
    </row>
    <row r="467" spans="1:8">
      <c r="A467" t="s">
        <v>85</v>
      </c>
      <c r="B467" t="s">
        <v>544</v>
      </c>
      <c r="C467" t="s">
        <v>551</v>
      </c>
      <c r="D467" t="s">
        <v>312</v>
      </c>
      <c r="E467" s="6">
        <v>0</v>
      </c>
      <c r="F467" s="6">
        <v>0</v>
      </c>
      <c r="G467" s="6">
        <v>0</v>
      </c>
      <c r="H467">
        <v>2017</v>
      </c>
    </row>
    <row r="468" spans="1:8">
      <c r="A468" t="s">
        <v>87</v>
      </c>
      <c r="B468" t="s">
        <v>86</v>
      </c>
      <c r="C468" t="s">
        <v>553</v>
      </c>
      <c r="D468" t="s">
        <v>554</v>
      </c>
      <c r="E468" s="6">
        <v>126000</v>
      </c>
      <c r="F468" s="6">
        <v>0</v>
      </c>
      <c r="G468" s="6">
        <v>3780</v>
      </c>
      <c r="H468">
        <v>2023</v>
      </c>
    </row>
    <row r="469" spans="1:8">
      <c r="A469" t="s">
        <v>87</v>
      </c>
      <c r="B469" t="s">
        <v>86</v>
      </c>
      <c r="C469" t="s">
        <v>555</v>
      </c>
      <c r="D469" t="s">
        <v>310</v>
      </c>
      <c r="E469" s="6">
        <v>0</v>
      </c>
      <c r="F469" s="6">
        <v>0</v>
      </c>
      <c r="G469" s="6">
        <v>0</v>
      </c>
      <c r="H469">
        <v>2023</v>
      </c>
    </row>
    <row r="470" spans="1:8">
      <c r="A470" t="s">
        <v>87</v>
      </c>
      <c r="B470" t="s">
        <v>86</v>
      </c>
      <c r="C470" t="s">
        <v>556</v>
      </c>
      <c r="D470" t="s">
        <v>326</v>
      </c>
      <c r="E470" s="6">
        <v>0</v>
      </c>
      <c r="F470" s="6">
        <v>0</v>
      </c>
      <c r="G470" s="6">
        <v>0</v>
      </c>
      <c r="H470">
        <v>2023</v>
      </c>
    </row>
    <row r="471" spans="1:8">
      <c r="A471" t="s">
        <v>87</v>
      </c>
      <c r="B471" t="s">
        <v>86</v>
      </c>
      <c r="C471" t="s">
        <v>553</v>
      </c>
      <c r="D471" t="s">
        <v>554</v>
      </c>
      <c r="E471" s="6">
        <v>113077</v>
      </c>
      <c r="F471" s="6">
        <v>0</v>
      </c>
      <c r="G471" s="6">
        <v>0</v>
      </c>
      <c r="H471">
        <v>2022</v>
      </c>
    </row>
    <row r="472" spans="1:8">
      <c r="A472" t="s">
        <v>87</v>
      </c>
      <c r="B472" t="s">
        <v>86</v>
      </c>
      <c r="C472" t="s">
        <v>555</v>
      </c>
      <c r="D472" t="s">
        <v>326</v>
      </c>
      <c r="E472" s="6">
        <v>0</v>
      </c>
      <c r="F472" s="6">
        <v>0</v>
      </c>
      <c r="G472" s="6">
        <v>0</v>
      </c>
      <c r="H472">
        <v>2022</v>
      </c>
    </row>
    <row r="473" spans="1:8">
      <c r="A473" t="s">
        <v>87</v>
      </c>
      <c r="B473" t="s">
        <v>86</v>
      </c>
      <c r="C473" t="s">
        <v>557</v>
      </c>
      <c r="D473" t="s">
        <v>326</v>
      </c>
      <c r="E473" s="6">
        <v>0</v>
      </c>
      <c r="F473" s="6">
        <v>0</v>
      </c>
      <c r="G473" s="6">
        <v>0</v>
      </c>
      <c r="H473">
        <v>2022</v>
      </c>
    </row>
    <row r="474" spans="1:8">
      <c r="A474" t="s">
        <v>87</v>
      </c>
      <c r="B474" t="s">
        <v>86</v>
      </c>
      <c r="C474" t="s">
        <v>558</v>
      </c>
      <c r="D474" t="s">
        <v>326</v>
      </c>
      <c r="E474" s="6">
        <v>0</v>
      </c>
      <c r="F474" s="6">
        <v>0</v>
      </c>
      <c r="G474" s="6">
        <v>0</v>
      </c>
      <c r="H474">
        <v>2021</v>
      </c>
    </row>
    <row r="475" spans="1:8">
      <c r="A475" t="s">
        <v>87</v>
      </c>
      <c r="B475" t="s">
        <v>86</v>
      </c>
      <c r="C475" t="s">
        <v>559</v>
      </c>
      <c r="D475" t="s">
        <v>326</v>
      </c>
      <c r="E475" s="6">
        <v>0</v>
      </c>
      <c r="F475" s="6">
        <v>0</v>
      </c>
      <c r="G475" s="6">
        <v>0</v>
      </c>
      <c r="H475">
        <v>2021</v>
      </c>
    </row>
    <row r="476" spans="1:8">
      <c r="A476" t="s">
        <v>87</v>
      </c>
      <c r="B476" t="s">
        <v>86</v>
      </c>
      <c r="C476" t="s">
        <v>560</v>
      </c>
      <c r="D476" t="s">
        <v>326</v>
      </c>
      <c r="E476" s="6">
        <v>0</v>
      </c>
      <c r="F476" s="6">
        <v>0</v>
      </c>
      <c r="G476" s="6">
        <v>0</v>
      </c>
      <c r="H476">
        <v>2021</v>
      </c>
    </row>
    <row r="477" spans="1:8">
      <c r="A477" t="s">
        <v>87</v>
      </c>
      <c r="B477" t="s">
        <v>86</v>
      </c>
      <c r="C477" t="s">
        <v>556</v>
      </c>
      <c r="D477" t="s">
        <v>363</v>
      </c>
      <c r="E477" s="6">
        <v>14400</v>
      </c>
      <c r="F477" s="6">
        <v>0</v>
      </c>
      <c r="G477" s="6">
        <v>0</v>
      </c>
      <c r="H477">
        <v>2020</v>
      </c>
    </row>
    <row r="478" spans="1:8">
      <c r="A478" t="s">
        <v>87</v>
      </c>
      <c r="B478" t="s">
        <v>86</v>
      </c>
      <c r="C478" t="s">
        <v>561</v>
      </c>
      <c r="D478" t="s">
        <v>562</v>
      </c>
      <c r="E478" s="6">
        <v>12923</v>
      </c>
      <c r="F478" s="6">
        <v>0</v>
      </c>
      <c r="G478" s="6">
        <v>0</v>
      </c>
      <c r="H478">
        <v>2020</v>
      </c>
    </row>
    <row r="479" spans="1:8">
      <c r="A479" t="s">
        <v>87</v>
      </c>
      <c r="B479" t="s">
        <v>86</v>
      </c>
      <c r="C479" t="s">
        <v>558</v>
      </c>
      <c r="D479" t="s">
        <v>326</v>
      </c>
      <c r="E479" s="6">
        <v>0</v>
      </c>
      <c r="F479" s="6">
        <v>0</v>
      </c>
      <c r="G479" s="6">
        <v>0</v>
      </c>
      <c r="H479">
        <v>2020</v>
      </c>
    </row>
    <row r="480" spans="1:8">
      <c r="A480" t="s">
        <v>87</v>
      </c>
      <c r="B480" t="s">
        <v>86</v>
      </c>
      <c r="C480" t="s">
        <v>563</v>
      </c>
      <c r="D480" t="s">
        <v>306</v>
      </c>
      <c r="E480" s="6">
        <v>81325</v>
      </c>
      <c r="F480" s="6">
        <v>0</v>
      </c>
      <c r="G480" s="6">
        <v>0</v>
      </c>
      <c r="H480">
        <v>2019</v>
      </c>
    </row>
    <row r="481" spans="1:8">
      <c r="A481" t="s">
        <v>87</v>
      </c>
      <c r="B481" t="s">
        <v>86</v>
      </c>
      <c r="C481" t="s">
        <v>564</v>
      </c>
      <c r="D481" t="s">
        <v>565</v>
      </c>
      <c r="E481" s="6">
        <v>31441</v>
      </c>
      <c r="F481" s="6">
        <v>0</v>
      </c>
      <c r="G481" s="6">
        <v>0</v>
      </c>
      <c r="H481">
        <v>2019</v>
      </c>
    </row>
    <row r="482" spans="1:8">
      <c r="A482" t="s">
        <v>87</v>
      </c>
      <c r="B482" t="s">
        <v>86</v>
      </c>
      <c r="C482" t="s">
        <v>566</v>
      </c>
      <c r="D482" t="s">
        <v>310</v>
      </c>
      <c r="E482" s="6">
        <v>0</v>
      </c>
      <c r="F482" s="6">
        <v>0</v>
      </c>
      <c r="G482" s="6">
        <v>0</v>
      </c>
      <c r="H482">
        <v>2019</v>
      </c>
    </row>
    <row r="483" spans="1:8">
      <c r="A483" t="s">
        <v>87</v>
      </c>
      <c r="B483" t="s">
        <v>86</v>
      </c>
      <c r="C483" t="s">
        <v>556</v>
      </c>
      <c r="D483" t="s">
        <v>363</v>
      </c>
      <c r="E483" s="6">
        <v>0</v>
      </c>
      <c r="F483" s="6">
        <v>0</v>
      </c>
      <c r="G483" s="6">
        <v>0</v>
      </c>
      <c r="H483">
        <v>2018</v>
      </c>
    </row>
    <row r="484" spans="1:8">
      <c r="A484" t="s">
        <v>87</v>
      </c>
      <c r="B484" t="s">
        <v>86</v>
      </c>
      <c r="C484" t="s">
        <v>563</v>
      </c>
      <c r="D484" t="s">
        <v>306</v>
      </c>
      <c r="E484" s="6">
        <v>89362</v>
      </c>
      <c r="F484" s="6">
        <v>0</v>
      </c>
      <c r="G484" s="6">
        <v>0</v>
      </c>
      <c r="H484">
        <v>2017</v>
      </c>
    </row>
    <row r="485" spans="1:8">
      <c r="A485" t="s">
        <v>87</v>
      </c>
      <c r="B485" t="s">
        <v>86</v>
      </c>
      <c r="C485" t="s">
        <v>566</v>
      </c>
      <c r="D485" t="s">
        <v>310</v>
      </c>
      <c r="E485" s="6">
        <v>0</v>
      </c>
      <c r="F485" s="6">
        <v>0</v>
      </c>
      <c r="G485" s="6">
        <v>0</v>
      </c>
      <c r="H485">
        <v>2017</v>
      </c>
    </row>
    <row r="486" spans="1:8">
      <c r="A486" t="s">
        <v>87</v>
      </c>
      <c r="B486" t="s">
        <v>86</v>
      </c>
      <c r="C486" t="s">
        <v>564</v>
      </c>
      <c r="D486" t="s">
        <v>366</v>
      </c>
      <c r="E486" s="6">
        <v>0</v>
      </c>
      <c r="F486" s="6">
        <v>0</v>
      </c>
      <c r="G486" s="6">
        <v>0</v>
      </c>
      <c r="H486">
        <v>2017</v>
      </c>
    </row>
    <row r="487" spans="1:8">
      <c r="A487" t="s">
        <v>87</v>
      </c>
      <c r="B487" t="s">
        <v>86</v>
      </c>
      <c r="C487" t="s">
        <v>563</v>
      </c>
      <c r="D487" t="s">
        <v>306</v>
      </c>
      <c r="E487" s="6">
        <v>83980</v>
      </c>
      <c r="F487" s="6">
        <v>0</v>
      </c>
      <c r="G487" s="6">
        <v>0</v>
      </c>
      <c r="H487">
        <v>2016</v>
      </c>
    </row>
    <row r="488" spans="1:8">
      <c r="A488" t="s">
        <v>87</v>
      </c>
      <c r="B488" t="s">
        <v>86</v>
      </c>
      <c r="C488" t="s">
        <v>564</v>
      </c>
      <c r="D488" t="s">
        <v>366</v>
      </c>
      <c r="E488" s="6">
        <v>0</v>
      </c>
      <c r="F488" s="6">
        <v>0</v>
      </c>
      <c r="G488" s="6">
        <v>0</v>
      </c>
      <c r="H488">
        <v>2016</v>
      </c>
    </row>
    <row r="489" spans="1:8">
      <c r="A489" t="s">
        <v>87</v>
      </c>
      <c r="B489" t="s">
        <v>86</v>
      </c>
      <c r="C489" t="s">
        <v>558</v>
      </c>
      <c r="D489" t="s">
        <v>567</v>
      </c>
      <c r="E489" s="6">
        <v>0</v>
      </c>
      <c r="F489" s="6">
        <v>0</v>
      </c>
      <c r="G489" s="6">
        <v>0</v>
      </c>
      <c r="H489">
        <v>2016</v>
      </c>
    </row>
    <row r="490" spans="1:8">
      <c r="A490" t="s">
        <v>87</v>
      </c>
      <c r="B490" t="s">
        <v>86</v>
      </c>
      <c r="C490" t="s">
        <v>563</v>
      </c>
      <c r="D490" t="s">
        <v>306</v>
      </c>
      <c r="E490" s="6">
        <v>80750</v>
      </c>
      <c r="F490" s="6">
        <v>0</v>
      </c>
      <c r="G490" s="6">
        <v>0</v>
      </c>
      <c r="H490">
        <v>2015</v>
      </c>
    </row>
    <row r="491" spans="1:8">
      <c r="A491" t="s">
        <v>87</v>
      </c>
      <c r="B491" t="s">
        <v>86</v>
      </c>
      <c r="C491" t="s">
        <v>564</v>
      </c>
      <c r="D491" t="s">
        <v>320</v>
      </c>
      <c r="E491" s="6">
        <v>0</v>
      </c>
      <c r="F491" s="6">
        <v>0</v>
      </c>
      <c r="G491" s="6">
        <v>0</v>
      </c>
      <c r="H491">
        <v>2015</v>
      </c>
    </row>
    <row r="492" spans="1:8">
      <c r="A492" t="s">
        <v>87</v>
      </c>
      <c r="B492" t="s">
        <v>86</v>
      </c>
      <c r="C492" t="s">
        <v>568</v>
      </c>
      <c r="D492" t="s">
        <v>326</v>
      </c>
      <c r="E492" s="6">
        <v>0</v>
      </c>
      <c r="F492" s="6">
        <v>0</v>
      </c>
      <c r="G492" s="6">
        <v>0</v>
      </c>
      <c r="H492">
        <v>2015</v>
      </c>
    </row>
    <row r="493" spans="1:8">
      <c r="A493" t="s">
        <v>89</v>
      </c>
      <c r="B493" t="s">
        <v>569</v>
      </c>
      <c r="C493" t="s">
        <v>570</v>
      </c>
      <c r="D493" t="s">
        <v>306</v>
      </c>
      <c r="E493" s="6">
        <v>67975</v>
      </c>
      <c r="F493" s="6">
        <v>0</v>
      </c>
      <c r="G493" s="6">
        <v>13313</v>
      </c>
      <c r="H493">
        <v>2023</v>
      </c>
    </row>
    <row r="494" spans="1:8">
      <c r="A494" t="s">
        <v>89</v>
      </c>
      <c r="B494" t="s">
        <v>569</v>
      </c>
      <c r="C494" t="s">
        <v>571</v>
      </c>
      <c r="D494" t="s">
        <v>572</v>
      </c>
      <c r="E494" s="6">
        <v>0</v>
      </c>
      <c r="F494" s="6">
        <v>0</v>
      </c>
      <c r="G494" s="6">
        <v>0</v>
      </c>
      <c r="H494">
        <v>2023</v>
      </c>
    </row>
    <row r="495" spans="1:8">
      <c r="A495" t="s">
        <v>89</v>
      </c>
      <c r="B495" t="s">
        <v>569</v>
      </c>
      <c r="C495" t="s">
        <v>573</v>
      </c>
      <c r="D495" t="s">
        <v>572</v>
      </c>
      <c r="E495" s="6">
        <v>0</v>
      </c>
      <c r="F495" s="6">
        <v>0</v>
      </c>
      <c r="G495" s="6">
        <v>0</v>
      </c>
      <c r="H495">
        <v>2023</v>
      </c>
    </row>
    <row r="496" spans="1:8">
      <c r="A496" t="s">
        <v>89</v>
      </c>
      <c r="B496" t="s">
        <v>569</v>
      </c>
      <c r="C496" t="s">
        <v>570</v>
      </c>
      <c r="D496" t="s">
        <v>306</v>
      </c>
      <c r="E496" s="6">
        <v>57715</v>
      </c>
      <c r="F496" s="6">
        <v>0</v>
      </c>
      <c r="G496" s="6">
        <v>15165</v>
      </c>
      <c r="H496">
        <v>2022</v>
      </c>
    </row>
    <row r="497" spans="1:8">
      <c r="A497" t="s">
        <v>89</v>
      </c>
      <c r="B497" t="s">
        <v>569</v>
      </c>
      <c r="C497" t="s">
        <v>574</v>
      </c>
      <c r="D497" t="s">
        <v>306</v>
      </c>
      <c r="E497" s="6">
        <v>8235</v>
      </c>
      <c r="F497" s="6">
        <v>0</v>
      </c>
      <c r="G497" s="6">
        <v>0</v>
      </c>
      <c r="H497">
        <v>2022</v>
      </c>
    </row>
    <row r="498" spans="1:8">
      <c r="A498" t="s">
        <v>89</v>
      </c>
      <c r="B498" t="s">
        <v>569</v>
      </c>
      <c r="C498" t="s">
        <v>574</v>
      </c>
      <c r="D498" t="s">
        <v>306</v>
      </c>
      <c r="E498" s="6">
        <v>71039</v>
      </c>
      <c r="F498" s="6">
        <v>0</v>
      </c>
      <c r="G498" s="6">
        <v>0</v>
      </c>
      <c r="H498">
        <v>2021</v>
      </c>
    </row>
    <row r="499" spans="1:8">
      <c r="A499" t="s">
        <v>89</v>
      </c>
      <c r="B499" t="s">
        <v>569</v>
      </c>
      <c r="C499" t="s">
        <v>570</v>
      </c>
      <c r="D499" t="s">
        <v>306</v>
      </c>
      <c r="E499" s="6">
        <v>11473</v>
      </c>
      <c r="F499" s="6">
        <v>0</v>
      </c>
      <c r="G499" s="6">
        <v>0</v>
      </c>
      <c r="H499">
        <v>2021</v>
      </c>
    </row>
    <row r="500" spans="1:8">
      <c r="A500" t="s">
        <v>89</v>
      </c>
      <c r="B500" t="s">
        <v>569</v>
      </c>
      <c r="C500" t="s">
        <v>574</v>
      </c>
      <c r="D500" t="s">
        <v>306</v>
      </c>
      <c r="E500" s="6">
        <v>71981</v>
      </c>
      <c r="F500" s="6">
        <v>0</v>
      </c>
      <c r="G500" s="6">
        <v>0</v>
      </c>
      <c r="H500">
        <v>2020</v>
      </c>
    </row>
    <row r="501" spans="1:8">
      <c r="A501" t="s">
        <v>89</v>
      </c>
      <c r="B501" t="s">
        <v>569</v>
      </c>
      <c r="C501" t="s">
        <v>574</v>
      </c>
      <c r="D501" t="s">
        <v>306</v>
      </c>
      <c r="E501" s="6">
        <v>68940</v>
      </c>
      <c r="F501" s="6">
        <v>0</v>
      </c>
      <c r="G501" s="6">
        <v>0</v>
      </c>
      <c r="H501">
        <v>2019</v>
      </c>
    </row>
    <row r="502" spans="1:8">
      <c r="A502" t="s">
        <v>89</v>
      </c>
      <c r="B502" t="s">
        <v>569</v>
      </c>
      <c r="C502" t="s">
        <v>574</v>
      </c>
      <c r="D502" t="s">
        <v>306</v>
      </c>
      <c r="E502" s="6">
        <v>68850</v>
      </c>
      <c r="F502" s="6">
        <v>0</v>
      </c>
      <c r="G502" s="6">
        <v>0</v>
      </c>
      <c r="H502">
        <v>2018</v>
      </c>
    </row>
    <row r="503" spans="1:8">
      <c r="A503" t="s">
        <v>89</v>
      </c>
      <c r="B503" t="s">
        <v>569</v>
      </c>
      <c r="C503" t="s">
        <v>574</v>
      </c>
      <c r="D503" t="s">
        <v>306</v>
      </c>
      <c r="E503" s="6">
        <v>41481</v>
      </c>
      <c r="F503" s="6">
        <v>0</v>
      </c>
      <c r="G503" s="6">
        <v>0</v>
      </c>
      <c r="H503">
        <v>2017</v>
      </c>
    </row>
    <row r="504" spans="1:8">
      <c r="A504" t="s">
        <v>89</v>
      </c>
      <c r="B504" t="s">
        <v>569</v>
      </c>
      <c r="C504" t="s">
        <v>575</v>
      </c>
      <c r="D504" t="s">
        <v>326</v>
      </c>
      <c r="E504" s="6">
        <v>12780</v>
      </c>
      <c r="F504" s="6">
        <v>0</v>
      </c>
      <c r="G504" s="6">
        <v>0</v>
      </c>
      <c r="H504">
        <v>2017</v>
      </c>
    </row>
    <row r="505" spans="1:8">
      <c r="A505" t="s">
        <v>89</v>
      </c>
      <c r="B505" t="s">
        <v>569</v>
      </c>
      <c r="C505" t="s">
        <v>574</v>
      </c>
      <c r="D505" t="s">
        <v>306</v>
      </c>
      <c r="E505" s="6">
        <v>65000</v>
      </c>
      <c r="F505" s="6">
        <v>0</v>
      </c>
      <c r="G505" s="6">
        <v>0</v>
      </c>
      <c r="H505">
        <v>2016</v>
      </c>
    </row>
    <row r="506" spans="1:8">
      <c r="A506" t="s">
        <v>89</v>
      </c>
      <c r="B506" t="s">
        <v>569</v>
      </c>
      <c r="C506" t="s">
        <v>576</v>
      </c>
      <c r="D506" t="s">
        <v>326</v>
      </c>
      <c r="E506" s="6">
        <v>1050</v>
      </c>
      <c r="F506" s="6">
        <v>0</v>
      </c>
      <c r="G506" s="6">
        <v>0</v>
      </c>
      <c r="H506">
        <v>2016</v>
      </c>
    </row>
    <row r="507" spans="1:8">
      <c r="A507" t="s">
        <v>89</v>
      </c>
      <c r="B507" t="s">
        <v>569</v>
      </c>
      <c r="C507" t="s">
        <v>577</v>
      </c>
      <c r="D507" t="s">
        <v>516</v>
      </c>
      <c r="E507" s="6">
        <v>37884</v>
      </c>
      <c r="F507" s="6">
        <v>0</v>
      </c>
      <c r="G507" s="6">
        <v>0</v>
      </c>
      <c r="H507">
        <v>2015</v>
      </c>
    </row>
    <row r="508" spans="1:8">
      <c r="A508" t="s">
        <v>89</v>
      </c>
      <c r="B508" t="s">
        <v>569</v>
      </c>
      <c r="C508" t="s">
        <v>574</v>
      </c>
      <c r="D508" t="s">
        <v>306</v>
      </c>
      <c r="E508" s="6">
        <v>21174</v>
      </c>
      <c r="F508" s="6">
        <v>0</v>
      </c>
      <c r="G508" s="6">
        <v>0</v>
      </c>
      <c r="H508">
        <v>2015</v>
      </c>
    </row>
    <row r="509" spans="1:8">
      <c r="A509" t="s">
        <v>89</v>
      </c>
      <c r="B509" t="s">
        <v>569</v>
      </c>
      <c r="C509" t="s">
        <v>578</v>
      </c>
      <c r="D509" t="s">
        <v>579</v>
      </c>
      <c r="E509" s="6">
        <v>13494</v>
      </c>
      <c r="F509" s="6">
        <v>0</v>
      </c>
      <c r="G509" s="6">
        <v>0</v>
      </c>
      <c r="H509">
        <v>2015</v>
      </c>
    </row>
    <row r="510" spans="1:8">
      <c r="A510" t="s">
        <v>89</v>
      </c>
      <c r="B510" t="s">
        <v>569</v>
      </c>
      <c r="C510" t="s">
        <v>574</v>
      </c>
      <c r="D510" t="s">
        <v>306</v>
      </c>
      <c r="E510" s="6">
        <v>65000</v>
      </c>
      <c r="F510" s="6">
        <v>0</v>
      </c>
      <c r="G510" s="6">
        <v>0</v>
      </c>
      <c r="H510">
        <v>2014</v>
      </c>
    </row>
    <row r="511" spans="1:8">
      <c r="A511" t="s">
        <v>89</v>
      </c>
      <c r="B511" t="s">
        <v>569</v>
      </c>
      <c r="C511" t="s">
        <v>576</v>
      </c>
      <c r="D511" t="s">
        <v>315</v>
      </c>
      <c r="E511" s="6">
        <v>6188</v>
      </c>
      <c r="F511" s="6">
        <v>0</v>
      </c>
      <c r="G511" s="6">
        <v>0</v>
      </c>
      <c r="H511">
        <v>2014</v>
      </c>
    </row>
    <row r="512" spans="1:8">
      <c r="A512" t="s">
        <v>89</v>
      </c>
      <c r="B512" t="s">
        <v>569</v>
      </c>
      <c r="C512" t="s">
        <v>574</v>
      </c>
      <c r="D512" t="s">
        <v>306</v>
      </c>
      <c r="E512" s="6">
        <v>68850</v>
      </c>
      <c r="F512" s="6">
        <v>0</v>
      </c>
      <c r="G512" s="6">
        <v>0</v>
      </c>
      <c r="H512">
        <v>2013</v>
      </c>
    </row>
    <row r="513" spans="1:8">
      <c r="A513" t="s">
        <v>89</v>
      </c>
      <c r="B513" t="s">
        <v>569</v>
      </c>
      <c r="C513" t="s">
        <v>580</v>
      </c>
      <c r="D513" t="s">
        <v>312</v>
      </c>
      <c r="E513" s="6">
        <v>0</v>
      </c>
      <c r="F513" s="6">
        <v>0</v>
      </c>
      <c r="G513" s="6">
        <v>0</v>
      </c>
      <c r="H513">
        <v>2013</v>
      </c>
    </row>
    <row r="514" spans="1:8">
      <c r="A514" t="s">
        <v>89</v>
      </c>
      <c r="B514" t="s">
        <v>569</v>
      </c>
      <c r="C514" t="s">
        <v>576</v>
      </c>
      <c r="D514" t="s">
        <v>404</v>
      </c>
      <c r="E514" s="6">
        <v>0</v>
      </c>
      <c r="F514" s="6">
        <v>0</v>
      </c>
      <c r="G514" s="6">
        <v>0</v>
      </c>
      <c r="H514">
        <v>2013</v>
      </c>
    </row>
    <row r="515" spans="1:8">
      <c r="A515" t="s">
        <v>92</v>
      </c>
      <c r="B515" t="s">
        <v>91</v>
      </c>
      <c r="C515" t="s">
        <v>581</v>
      </c>
      <c r="D515" t="s">
        <v>372</v>
      </c>
      <c r="E515" s="6">
        <v>0</v>
      </c>
      <c r="F515" s="6">
        <v>0</v>
      </c>
      <c r="G515" s="6">
        <v>0</v>
      </c>
      <c r="H515">
        <v>2022</v>
      </c>
    </row>
    <row r="516" spans="1:8">
      <c r="A516" t="s">
        <v>92</v>
      </c>
      <c r="B516" t="s">
        <v>91</v>
      </c>
      <c r="C516" t="s">
        <v>582</v>
      </c>
      <c r="D516" t="s">
        <v>411</v>
      </c>
      <c r="E516" s="6">
        <v>0</v>
      </c>
      <c r="F516" s="6">
        <v>0</v>
      </c>
      <c r="G516" s="6">
        <v>0</v>
      </c>
      <c r="H516">
        <v>2022</v>
      </c>
    </row>
    <row r="517" spans="1:8">
      <c r="A517" t="s">
        <v>92</v>
      </c>
      <c r="B517" t="s">
        <v>91</v>
      </c>
      <c r="C517" t="s">
        <v>583</v>
      </c>
      <c r="D517" t="s">
        <v>315</v>
      </c>
      <c r="E517" s="6">
        <v>0</v>
      </c>
      <c r="F517" s="6">
        <v>0</v>
      </c>
      <c r="G517" s="6">
        <v>0</v>
      </c>
      <c r="H517">
        <v>2022</v>
      </c>
    </row>
    <row r="518" spans="1:8">
      <c r="A518" t="s">
        <v>92</v>
      </c>
      <c r="B518" t="s">
        <v>91</v>
      </c>
      <c r="C518" t="s">
        <v>584</v>
      </c>
      <c r="D518" t="s">
        <v>306</v>
      </c>
      <c r="E518" s="6">
        <v>52195</v>
      </c>
      <c r="F518" s="6">
        <v>0</v>
      </c>
      <c r="G518" s="6">
        <v>0</v>
      </c>
      <c r="H518">
        <v>2022</v>
      </c>
    </row>
    <row r="519" spans="1:8">
      <c r="A519" t="s">
        <v>95</v>
      </c>
      <c r="B519" t="s">
        <v>585</v>
      </c>
      <c r="C519" t="s">
        <v>586</v>
      </c>
      <c r="D519" t="s">
        <v>306</v>
      </c>
      <c r="E519" s="6">
        <v>65000</v>
      </c>
      <c r="F519" s="6">
        <v>0</v>
      </c>
      <c r="G519" s="6">
        <v>0</v>
      </c>
      <c r="H519">
        <v>2023</v>
      </c>
    </row>
    <row r="520" spans="1:8">
      <c r="A520" t="s">
        <v>95</v>
      </c>
      <c r="B520" t="s">
        <v>585</v>
      </c>
      <c r="C520" t="s">
        <v>587</v>
      </c>
      <c r="D520" t="s">
        <v>308</v>
      </c>
      <c r="E520" s="6">
        <v>0</v>
      </c>
      <c r="F520" s="6">
        <v>0</v>
      </c>
      <c r="G520" s="6">
        <v>0</v>
      </c>
      <c r="H520">
        <v>2023</v>
      </c>
    </row>
    <row r="521" spans="1:8">
      <c r="A521" t="s">
        <v>95</v>
      </c>
      <c r="B521" t="s">
        <v>585</v>
      </c>
      <c r="C521" t="s">
        <v>588</v>
      </c>
      <c r="D521" t="s">
        <v>310</v>
      </c>
      <c r="E521" s="6">
        <v>0</v>
      </c>
      <c r="F521" s="6">
        <v>0</v>
      </c>
      <c r="G521" s="6">
        <v>0</v>
      </c>
      <c r="H521">
        <v>2023</v>
      </c>
    </row>
    <row r="522" spans="1:8">
      <c r="A522" t="s">
        <v>95</v>
      </c>
      <c r="B522" t="s">
        <v>585</v>
      </c>
      <c r="C522" t="s">
        <v>586</v>
      </c>
      <c r="D522" t="s">
        <v>306</v>
      </c>
      <c r="E522" s="6">
        <v>65000</v>
      </c>
      <c r="F522" s="6">
        <v>0</v>
      </c>
      <c r="G522" s="6">
        <v>0</v>
      </c>
      <c r="H522">
        <v>2022</v>
      </c>
    </row>
    <row r="523" spans="1:8">
      <c r="A523" t="s">
        <v>95</v>
      </c>
      <c r="B523" t="s">
        <v>585</v>
      </c>
      <c r="C523" t="s">
        <v>589</v>
      </c>
      <c r="D523" t="s">
        <v>308</v>
      </c>
      <c r="E523" s="6">
        <v>0</v>
      </c>
      <c r="F523" s="6">
        <v>0</v>
      </c>
      <c r="G523" s="6">
        <v>0</v>
      </c>
      <c r="H523">
        <v>2022</v>
      </c>
    </row>
    <row r="524" spans="1:8">
      <c r="A524" t="s">
        <v>95</v>
      </c>
      <c r="B524" t="s">
        <v>585</v>
      </c>
      <c r="C524" t="s">
        <v>587</v>
      </c>
      <c r="D524" t="s">
        <v>308</v>
      </c>
      <c r="E524" s="6">
        <v>0</v>
      </c>
      <c r="F524" s="6">
        <v>0</v>
      </c>
      <c r="G524" s="6">
        <v>0</v>
      </c>
      <c r="H524">
        <v>2022</v>
      </c>
    </row>
    <row r="525" spans="1:8">
      <c r="A525" t="s">
        <v>95</v>
      </c>
      <c r="B525" t="s">
        <v>585</v>
      </c>
      <c r="C525" t="s">
        <v>586</v>
      </c>
      <c r="D525" t="s">
        <v>306</v>
      </c>
      <c r="E525" s="6">
        <v>65000</v>
      </c>
      <c r="F525" s="6">
        <v>0</v>
      </c>
      <c r="G525" s="6">
        <v>0</v>
      </c>
      <c r="H525">
        <v>2021</v>
      </c>
    </row>
    <row r="526" spans="1:8">
      <c r="A526" t="s">
        <v>95</v>
      </c>
      <c r="B526" t="s">
        <v>585</v>
      </c>
      <c r="C526" t="s">
        <v>589</v>
      </c>
      <c r="D526" t="s">
        <v>308</v>
      </c>
      <c r="E526" s="6">
        <v>0</v>
      </c>
      <c r="F526" s="6">
        <v>0</v>
      </c>
      <c r="G526" s="6">
        <v>0</v>
      </c>
      <c r="H526">
        <v>2021</v>
      </c>
    </row>
    <row r="527" spans="1:8">
      <c r="A527" t="s">
        <v>95</v>
      </c>
      <c r="B527" t="s">
        <v>585</v>
      </c>
      <c r="C527" t="s">
        <v>587</v>
      </c>
      <c r="D527" t="s">
        <v>308</v>
      </c>
      <c r="E527" s="6">
        <v>0</v>
      </c>
      <c r="F527" s="6">
        <v>0</v>
      </c>
      <c r="G527" s="6">
        <v>0</v>
      </c>
      <c r="H527">
        <v>2021</v>
      </c>
    </row>
    <row r="528" spans="1:8">
      <c r="A528" t="s">
        <v>95</v>
      </c>
      <c r="B528" t="s">
        <v>585</v>
      </c>
      <c r="C528" t="s">
        <v>586</v>
      </c>
      <c r="D528" t="s">
        <v>306</v>
      </c>
      <c r="E528" s="6">
        <v>60000</v>
      </c>
      <c r="F528" s="6">
        <v>0</v>
      </c>
      <c r="G528" s="6">
        <v>0</v>
      </c>
      <c r="H528">
        <v>2020</v>
      </c>
    </row>
    <row r="529" spans="1:8">
      <c r="A529" t="s">
        <v>95</v>
      </c>
      <c r="B529" t="s">
        <v>585</v>
      </c>
      <c r="C529" t="s">
        <v>590</v>
      </c>
      <c r="D529" t="s">
        <v>308</v>
      </c>
      <c r="E529" s="6">
        <v>0</v>
      </c>
      <c r="F529" s="6">
        <v>0</v>
      </c>
      <c r="G529" s="6">
        <v>0</v>
      </c>
      <c r="H529">
        <v>2020</v>
      </c>
    </row>
    <row r="530" spans="1:8">
      <c r="A530" t="s">
        <v>95</v>
      </c>
      <c r="B530" t="s">
        <v>585</v>
      </c>
      <c r="C530" t="s">
        <v>588</v>
      </c>
      <c r="D530" t="s">
        <v>308</v>
      </c>
      <c r="E530" s="6">
        <v>0</v>
      </c>
      <c r="F530" s="6">
        <v>0</v>
      </c>
      <c r="G530" s="6">
        <v>0</v>
      </c>
      <c r="H530">
        <v>2020</v>
      </c>
    </row>
    <row r="531" spans="1:8">
      <c r="A531" t="s">
        <v>95</v>
      </c>
      <c r="B531" t="s">
        <v>585</v>
      </c>
      <c r="C531" t="s">
        <v>586</v>
      </c>
      <c r="D531" t="s">
        <v>306</v>
      </c>
      <c r="E531" s="6">
        <v>60000</v>
      </c>
      <c r="F531" s="6">
        <v>0</v>
      </c>
      <c r="G531" s="6">
        <v>0</v>
      </c>
      <c r="H531">
        <v>2019</v>
      </c>
    </row>
    <row r="532" spans="1:8">
      <c r="A532" t="s">
        <v>95</v>
      </c>
      <c r="B532" t="s">
        <v>585</v>
      </c>
      <c r="C532" t="s">
        <v>591</v>
      </c>
      <c r="D532" t="s">
        <v>312</v>
      </c>
      <c r="E532" s="6">
        <v>0</v>
      </c>
      <c r="F532" s="6">
        <v>0</v>
      </c>
      <c r="G532" s="6">
        <v>0</v>
      </c>
      <c r="H532">
        <v>2019</v>
      </c>
    </row>
    <row r="533" spans="1:8">
      <c r="A533" t="s">
        <v>95</v>
      </c>
      <c r="B533" t="s">
        <v>585</v>
      </c>
      <c r="C533" t="s">
        <v>592</v>
      </c>
      <c r="D533" t="s">
        <v>593</v>
      </c>
      <c r="E533" s="6">
        <v>0</v>
      </c>
      <c r="F533" s="6">
        <v>0</v>
      </c>
      <c r="G533" s="6">
        <v>0</v>
      </c>
      <c r="H533">
        <v>2019</v>
      </c>
    </row>
    <row r="534" spans="1:8">
      <c r="A534" t="s">
        <v>95</v>
      </c>
      <c r="B534" t="s">
        <v>585</v>
      </c>
      <c r="C534" t="s">
        <v>586</v>
      </c>
      <c r="D534" t="s">
        <v>306</v>
      </c>
      <c r="E534" s="6">
        <v>60000</v>
      </c>
      <c r="F534" s="6">
        <v>0</v>
      </c>
      <c r="G534" s="6">
        <v>0</v>
      </c>
      <c r="H534">
        <v>2018</v>
      </c>
    </row>
    <row r="535" spans="1:8">
      <c r="A535" t="s">
        <v>95</v>
      </c>
      <c r="B535" t="s">
        <v>585</v>
      </c>
      <c r="C535" t="s">
        <v>591</v>
      </c>
      <c r="D535" t="s">
        <v>312</v>
      </c>
      <c r="E535" s="6">
        <v>0</v>
      </c>
      <c r="F535" s="6">
        <v>0</v>
      </c>
      <c r="G535" s="6">
        <v>0</v>
      </c>
      <c r="H535">
        <v>2018</v>
      </c>
    </row>
    <row r="536" spans="1:8">
      <c r="A536" t="s">
        <v>95</v>
      </c>
      <c r="B536" t="s">
        <v>585</v>
      </c>
      <c r="C536" t="s">
        <v>592</v>
      </c>
      <c r="D536" t="s">
        <v>593</v>
      </c>
      <c r="E536" s="6">
        <v>0</v>
      </c>
      <c r="F536" s="6">
        <v>0</v>
      </c>
      <c r="G536" s="6">
        <v>0</v>
      </c>
      <c r="H536">
        <v>2018</v>
      </c>
    </row>
    <row r="537" spans="1:8">
      <c r="A537" t="s">
        <v>95</v>
      </c>
      <c r="B537" t="s">
        <v>585</v>
      </c>
      <c r="C537" t="s">
        <v>586</v>
      </c>
      <c r="D537" t="s">
        <v>306</v>
      </c>
      <c r="E537" s="6">
        <v>60000</v>
      </c>
      <c r="F537" s="6">
        <v>0</v>
      </c>
      <c r="G537" s="6">
        <v>0</v>
      </c>
      <c r="H537">
        <v>2017</v>
      </c>
    </row>
    <row r="538" spans="1:8">
      <c r="A538" t="s">
        <v>95</v>
      </c>
      <c r="B538" t="s">
        <v>585</v>
      </c>
      <c r="C538" t="s">
        <v>594</v>
      </c>
      <c r="D538" t="s">
        <v>531</v>
      </c>
      <c r="E538" s="6">
        <v>0</v>
      </c>
      <c r="F538" s="6">
        <v>0</v>
      </c>
      <c r="G538" s="6">
        <v>0</v>
      </c>
      <c r="H538">
        <v>2017</v>
      </c>
    </row>
    <row r="539" spans="1:8">
      <c r="A539" t="s">
        <v>95</v>
      </c>
      <c r="B539" t="s">
        <v>585</v>
      </c>
      <c r="C539" t="s">
        <v>591</v>
      </c>
      <c r="D539" t="s">
        <v>531</v>
      </c>
      <c r="E539" s="6">
        <v>0</v>
      </c>
      <c r="F539" s="6">
        <v>0</v>
      </c>
      <c r="G539" s="6">
        <v>0</v>
      </c>
      <c r="H539">
        <v>2017</v>
      </c>
    </row>
    <row r="540" spans="1:8">
      <c r="A540" t="s">
        <v>95</v>
      </c>
      <c r="B540" t="s">
        <v>585</v>
      </c>
      <c r="C540" t="s">
        <v>586</v>
      </c>
      <c r="D540" t="s">
        <v>306</v>
      </c>
      <c r="E540" s="6">
        <v>60000</v>
      </c>
      <c r="F540" s="6">
        <v>0</v>
      </c>
      <c r="G540" s="6">
        <v>0</v>
      </c>
      <c r="H540">
        <v>2016</v>
      </c>
    </row>
    <row r="541" spans="1:8">
      <c r="A541" t="s">
        <v>95</v>
      </c>
      <c r="B541" t="s">
        <v>585</v>
      </c>
      <c r="C541" t="s">
        <v>594</v>
      </c>
      <c r="D541" t="s">
        <v>531</v>
      </c>
      <c r="E541" s="6">
        <v>0</v>
      </c>
      <c r="F541" s="6">
        <v>0</v>
      </c>
      <c r="G541" s="6">
        <v>0</v>
      </c>
      <c r="H541">
        <v>2016</v>
      </c>
    </row>
    <row r="542" spans="1:8">
      <c r="A542" t="s">
        <v>95</v>
      </c>
      <c r="B542" t="s">
        <v>585</v>
      </c>
      <c r="C542" t="s">
        <v>591</v>
      </c>
      <c r="D542" t="s">
        <v>531</v>
      </c>
      <c r="E542" s="6">
        <v>0</v>
      </c>
      <c r="F542" s="6">
        <v>0</v>
      </c>
      <c r="G542" s="6">
        <v>0</v>
      </c>
      <c r="H542">
        <v>2016</v>
      </c>
    </row>
    <row r="543" spans="1:8">
      <c r="A543" t="s">
        <v>95</v>
      </c>
      <c r="B543" t="s">
        <v>585</v>
      </c>
      <c r="C543" t="s">
        <v>586</v>
      </c>
      <c r="D543" t="s">
        <v>306</v>
      </c>
      <c r="E543" s="6">
        <v>60000</v>
      </c>
      <c r="F543" s="6">
        <v>0</v>
      </c>
      <c r="G543" s="6">
        <v>0</v>
      </c>
      <c r="H543">
        <v>2015</v>
      </c>
    </row>
    <row r="544" spans="1:8">
      <c r="A544" t="s">
        <v>95</v>
      </c>
      <c r="B544" t="s">
        <v>585</v>
      </c>
      <c r="C544" t="s">
        <v>594</v>
      </c>
      <c r="D544" t="s">
        <v>531</v>
      </c>
      <c r="E544" s="6">
        <v>0</v>
      </c>
      <c r="F544" s="6">
        <v>0</v>
      </c>
      <c r="G544" s="6">
        <v>0</v>
      </c>
      <c r="H544">
        <v>2015</v>
      </c>
    </row>
    <row r="545" spans="1:8">
      <c r="A545" t="s">
        <v>95</v>
      </c>
      <c r="B545" t="s">
        <v>585</v>
      </c>
      <c r="C545" t="s">
        <v>591</v>
      </c>
      <c r="D545" t="s">
        <v>531</v>
      </c>
      <c r="E545" s="6">
        <v>0</v>
      </c>
      <c r="F545" s="6">
        <v>0</v>
      </c>
      <c r="G545" s="6">
        <v>0</v>
      </c>
      <c r="H545">
        <v>2015</v>
      </c>
    </row>
    <row r="546" spans="1:8">
      <c r="A546" t="s">
        <v>97</v>
      </c>
      <c r="B546" t="s">
        <v>595</v>
      </c>
      <c r="C546" t="s">
        <v>596</v>
      </c>
      <c r="D546" t="s">
        <v>320</v>
      </c>
      <c r="E546" s="6">
        <v>0</v>
      </c>
      <c r="F546" s="6">
        <v>0</v>
      </c>
      <c r="G546" s="6">
        <v>0</v>
      </c>
      <c r="H546">
        <v>2023</v>
      </c>
    </row>
    <row r="547" spans="1:8">
      <c r="A547" t="s">
        <v>97</v>
      </c>
      <c r="B547" t="s">
        <v>595</v>
      </c>
      <c r="C547" t="s">
        <v>597</v>
      </c>
      <c r="D547" t="s">
        <v>310</v>
      </c>
      <c r="E547" s="6">
        <v>0</v>
      </c>
      <c r="F547" s="6">
        <v>0</v>
      </c>
      <c r="G547" s="6">
        <v>0</v>
      </c>
      <c r="H547">
        <v>2023</v>
      </c>
    </row>
    <row r="548" spans="1:8">
      <c r="A548" t="s">
        <v>97</v>
      </c>
      <c r="B548" t="s">
        <v>595</v>
      </c>
      <c r="C548" t="s">
        <v>598</v>
      </c>
      <c r="D548" t="s">
        <v>599</v>
      </c>
      <c r="E548" s="6">
        <v>0</v>
      </c>
      <c r="F548" s="6">
        <v>0</v>
      </c>
      <c r="G548" s="6">
        <v>0</v>
      </c>
      <c r="H548">
        <v>2023</v>
      </c>
    </row>
    <row r="549" spans="1:8">
      <c r="A549" t="s">
        <v>97</v>
      </c>
      <c r="B549" t="s">
        <v>595</v>
      </c>
      <c r="C549" t="s">
        <v>596</v>
      </c>
      <c r="D549" t="s">
        <v>600</v>
      </c>
      <c r="E549" s="6">
        <v>0</v>
      </c>
      <c r="F549" s="6">
        <v>0</v>
      </c>
      <c r="G549" s="6">
        <v>0</v>
      </c>
      <c r="H549">
        <v>2022</v>
      </c>
    </row>
    <row r="550" spans="1:8">
      <c r="A550" t="s">
        <v>97</v>
      </c>
      <c r="B550" t="s">
        <v>595</v>
      </c>
      <c r="C550" t="s">
        <v>597</v>
      </c>
      <c r="D550" t="s">
        <v>310</v>
      </c>
      <c r="E550" s="6">
        <v>0</v>
      </c>
      <c r="F550" s="6">
        <v>0</v>
      </c>
      <c r="G550" s="6">
        <v>0</v>
      </c>
      <c r="H550">
        <v>2022</v>
      </c>
    </row>
    <row r="551" spans="1:8">
      <c r="A551" t="s">
        <v>97</v>
      </c>
      <c r="B551" t="s">
        <v>595</v>
      </c>
      <c r="C551" t="s">
        <v>601</v>
      </c>
      <c r="D551" t="s">
        <v>315</v>
      </c>
      <c r="E551" s="6">
        <v>0</v>
      </c>
      <c r="F551" s="6">
        <v>0</v>
      </c>
      <c r="G551" s="6">
        <v>0</v>
      </c>
      <c r="H551">
        <v>2022</v>
      </c>
    </row>
    <row r="552" spans="1:8">
      <c r="A552" t="s">
        <v>97</v>
      </c>
      <c r="B552" t="s">
        <v>595</v>
      </c>
      <c r="C552" t="s">
        <v>596</v>
      </c>
      <c r="D552" t="s">
        <v>600</v>
      </c>
      <c r="E552" s="6">
        <v>0</v>
      </c>
      <c r="F552" s="6">
        <v>0</v>
      </c>
      <c r="G552" s="6">
        <v>0</v>
      </c>
      <c r="H552">
        <v>2021</v>
      </c>
    </row>
    <row r="553" spans="1:8">
      <c r="A553" t="s">
        <v>97</v>
      </c>
      <c r="B553" t="s">
        <v>595</v>
      </c>
      <c r="C553" t="s">
        <v>598</v>
      </c>
      <c r="D553" t="s">
        <v>602</v>
      </c>
      <c r="E553" s="6">
        <v>0</v>
      </c>
      <c r="F553" s="6">
        <v>0</v>
      </c>
      <c r="G553" s="6">
        <v>0</v>
      </c>
      <c r="H553">
        <v>2021</v>
      </c>
    </row>
    <row r="554" spans="1:8">
      <c r="A554" t="s">
        <v>97</v>
      </c>
      <c r="B554" t="s">
        <v>595</v>
      </c>
      <c r="C554" t="s">
        <v>601</v>
      </c>
      <c r="D554" t="s">
        <v>315</v>
      </c>
      <c r="E554" s="6">
        <v>0</v>
      </c>
      <c r="F554" s="6">
        <v>0</v>
      </c>
      <c r="G554" s="6">
        <v>0</v>
      </c>
      <c r="H554">
        <v>2021</v>
      </c>
    </row>
    <row r="555" spans="1:8">
      <c r="A555" t="s">
        <v>97</v>
      </c>
      <c r="B555" t="s">
        <v>595</v>
      </c>
      <c r="C555" t="s">
        <v>596</v>
      </c>
      <c r="D555" t="s">
        <v>600</v>
      </c>
      <c r="E555" s="6">
        <v>0</v>
      </c>
      <c r="F555" s="6">
        <v>0</v>
      </c>
      <c r="G555" s="6">
        <v>0</v>
      </c>
      <c r="H555">
        <v>2020</v>
      </c>
    </row>
    <row r="556" spans="1:8">
      <c r="A556" t="s">
        <v>97</v>
      </c>
      <c r="B556" t="s">
        <v>595</v>
      </c>
      <c r="C556" t="s">
        <v>598</v>
      </c>
      <c r="D556" t="s">
        <v>602</v>
      </c>
      <c r="E556" s="6">
        <v>0</v>
      </c>
      <c r="F556" s="6">
        <v>0</v>
      </c>
      <c r="G556" s="6">
        <v>0</v>
      </c>
      <c r="H556">
        <v>2020</v>
      </c>
    </row>
    <row r="557" spans="1:8">
      <c r="A557" t="s">
        <v>97</v>
      </c>
      <c r="B557" t="s">
        <v>595</v>
      </c>
      <c r="C557" t="s">
        <v>601</v>
      </c>
      <c r="D557" t="s">
        <v>315</v>
      </c>
      <c r="E557" s="6">
        <v>0</v>
      </c>
      <c r="F557" s="6">
        <v>0</v>
      </c>
      <c r="G557" s="6">
        <v>0</v>
      </c>
      <c r="H557">
        <v>2020</v>
      </c>
    </row>
    <row r="558" spans="1:8">
      <c r="A558" t="s">
        <v>97</v>
      </c>
      <c r="B558" t="s">
        <v>595</v>
      </c>
      <c r="C558" t="s">
        <v>596</v>
      </c>
      <c r="D558" t="s">
        <v>600</v>
      </c>
      <c r="E558" s="6">
        <v>0</v>
      </c>
      <c r="F558" s="6">
        <v>0</v>
      </c>
      <c r="G558" s="6">
        <v>0</v>
      </c>
      <c r="H558">
        <v>2019</v>
      </c>
    </row>
    <row r="559" spans="1:8">
      <c r="A559" t="s">
        <v>97</v>
      </c>
      <c r="B559" t="s">
        <v>595</v>
      </c>
      <c r="C559" t="s">
        <v>598</v>
      </c>
      <c r="D559" t="s">
        <v>602</v>
      </c>
      <c r="E559" s="6">
        <v>0</v>
      </c>
      <c r="F559" s="6">
        <v>0</v>
      </c>
      <c r="G559" s="6">
        <v>0</v>
      </c>
      <c r="H559">
        <v>2019</v>
      </c>
    </row>
    <row r="560" spans="1:8">
      <c r="A560" t="s">
        <v>97</v>
      </c>
      <c r="B560" t="s">
        <v>595</v>
      </c>
      <c r="C560" t="s">
        <v>601</v>
      </c>
      <c r="D560" t="s">
        <v>315</v>
      </c>
      <c r="E560" s="6">
        <v>0</v>
      </c>
      <c r="F560" s="6">
        <v>0</v>
      </c>
      <c r="G560" s="6">
        <v>0</v>
      </c>
      <c r="H560">
        <v>2019</v>
      </c>
    </row>
    <row r="561" spans="1:8">
      <c r="A561" t="s">
        <v>97</v>
      </c>
      <c r="B561" t="s">
        <v>595</v>
      </c>
      <c r="C561" t="s">
        <v>596</v>
      </c>
      <c r="D561" t="s">
        <v>600</v>
      </c>
      <c r="E561" s="6">
        <v>0</v>
      </c>
      <c r="F561" s="6">
        <v>0</v>
      </c>
      <c r="G561" s="6">
        <v>0</v>
      </c>
      <c r="H561">
        <v>2018</v>
      </c>
    </row>
    <row r="562" spans="1:8">
      <c r="A562" t="s">
        <v>97</v>
      </c>
      <c r="B562" t="s">
        <v>595</v>
      </c>
      <c r="C562" t="s">
        <v>598</v>
      </c>
      <c r="D562" t="s">
        <v>602</v>
      </c>
      <c r="E562" s="6">
        <v>0</v>
      </c>
      <c r="F562" s="6">
        <v>0</v>
      </c>
      <c r="G562" s="6">
        <v>0</v>
      </c>
      <c r="H562">
        <v>2018</v>
      </c>
    </row>
    <row r="563" spans="1:8">
      <c r="A563" t="s">
        <v>97</v>
      </c>
      <c r="B563" t="s">
        <v>595</v>
      </c>
      <c r="C563" t="s">
        <v>601</v>
      </c>
      <c r="D563" t="s">
        <v>315</v>
      </c>
      <c r="E563" s="6">
        <v>0</v>
      </c>
      <c r="F563" s="6">
        <v>0</v>
      </c>
      <c r="G563" s="6">
        <v>0</v>
      </c>
      <c r="H563">
        <v>2018</v>
      </c>
    </row>
    <row r="564" spans="1:8">
      <c r="A564" t="s">
        <v>97</v>
      </c>
      <c r="B564" t="s">
        <v>595</v>
      </c>
      <c r="C564" t="s">
        <v>596</v>
      </c>
      <c r="D564" t="s">
        <v>600</v>
      </c>
      <c r="E564" s="6">
        <v>0</v>
      </c>
      <c r="F564" s="6">
        <v>0</v>
      </c>
      <c r="G564" s="6">
        <v>0</v>
      </c>
      <c r="H564">
        <v>2017</v>
      </c>
    </row>
    <row r="565" spans="1:8">
      <c r="A565" t="s">
        <v>97</v>
      </c>
      <c r="B565" t="s">
        <v>595</v>
      </c>
      <c r="C565" t="s">
        <v>598</v>
      </c>
      <c r="D565" t="s">
        <v>602</v>
      </c>
      <c r="E565" s="6">
        <v>0</v>
      </c>
      <c r="F565" s="6">
        <v>0</v>
      </c>
      <c r="G565" s="6">
        <v>0</v>
      </c>
      <c r="H565">
        <v>2017</v>
      </c>
    </row>
    <row r="566" spans="1:8">
      <c r="A566" t="s">
        <v>97</v>
      </c>
      <c r="B566" t="s">
        <v>595</v>
      </c>
      <c r="C566" t="s">
        <v>601</v>
      </c>
      <c r="D566" t="s">
        <v>315</v>
      </c>
      <c r="E566" s="6">
        <v>0</v>
      </c>
      <c r="F566" s="6">
        <v>0</v>
      </c>
      <c r="G566" s="6">
        <v>0</v>
      </c>
      <c r="H566">
        <v>2017</v>
      </c>
    </row>
    <row r="567" spans="1:8">
      <c r="A567" t="s">
        <v>99</v>
      </c>
      <c r="B567" t="s">
        <v>98</v>
      </c>
      <c r="C567" t="s">
        <v>603</v>
      </c>
      <c r="D567" t="s">
        <v>554</v>
      </c>
      <c r="E567" s="6">
        <v>110000</v>
      </c>
      <c r="F567" s="6">
        <v>0</v>
      </c>
      <c r="G567" s="6">
        <v>0</v>
      </c>
      <c r="H567">
        <v>2023</v>
      </c>
    </row>
    <row r="568" spans="1:8">
      <c r="A568" t="s">
        <v>99</v>
      </c>
      <c r="B568" t="s">
        <v>98</v>
      </c>
      <c r="C568" t="s">
        <v>604</v>
      </c>
      <c r="D568" t="s">
        <v>310</v>
      </c>
      <c r="E568" s="6">
        <v>2700</v>
      </c>
      <c r="F568" s="6">
        <v>0</v>
      </c>
      <c r="G568" s="6">
        <v>0</v>
      </c>
      <c r="H568">
        <v>2023</v>
      </c>
    </row>
    <row r="569" spans="1:8">
      <c r="A569" t="s">
        <v>99</v>
      </c>
      <c r="B569" t="s">
        <v>98</v>
      </c>
      <c r="C569" t="s">
        <v>605</v>
      </c>
      <c r="D569" t="s">
        <v>312</v>
      </c>
      <c r="E569" s="6">
        <v>0</v>
      </c>
      <c r="F569" s="6">
        <v>0</v>
      </c>
      <c r="G569" s="6">
        <v>0</v>
      </c>
      <c r="H569">
        <v>2023</v>
      </c>
    </row>
    <row r="570" spans="1:8">
      <c r="A570" t="s">
        <v>99</v>
      </c>
      <c r="B570" t="s">
        <v>98</v>
      </c>
      <c r="C570" t="s">
        <v>603</v>
      </c>
      <c r="D570" t="s">
        <v>554</v>
      </c>
      <c r="E570" s="6">
        <v>147342</v>
      </c>
      <c r="F570" s="6">
        <v>0</v>
      </c>
      <c r="G570" s="6">
        <v>0</v>
      </c>
      <c r="H570">
        <v>2022</v>
      </c>
    </row>
    <row r="571" spans="1:8">
      <c r="A571" t="s">
        <v>99</v>
      </c>
      <c r="B571" t="s">
        <v>98</v>
      </c>
      <c r="C571" t="s">
        <v>604</v>
      </c>
      <c r="D571" t="s">
        <v>310</v>
      </c>
      <c r="E571" s="6">
        <v>2700</v>
      </c>
      <c r="F571" s="6">
        <v>0</v>
      </c>
      <c r="G571" s="6">
        <v>0</v>
      </c>
      <c r="H571">
        <v>2022</v>
      </c>
    </row>
    <row r="572" spans="1:8">
      <c r="A572" t="s">
        <v>99</v>
      </c>
      <c r="B572" t="s">
        <v>98</v>
      </c>
      <c r="C572" t="s">
        <v>605</v>
      </c>
      <c r="D572" t="s">
        <v>312</v>
      </c>
      <c r="E572" s="6">
        <v>0</v>
      </c>
      <c r="F572" s="6">
        <v>0</v>
      </c>
      <c r="G572" s="6">
        <v>0</v>
      </c>
      <c r="H572">
        <v>2022</v>
      </c>
    </row>
    <row r="573" spans="1:8">
      <c r="A573" t="s">
        <v>99</v>
      </c>
      <c r="B573" t="s">
        <v>98</v>
      </c>
      <c r="C573" t="s">
        <v>606</v>
      </c>
      <c r="D573" t="s">
        <v>363</v>
      </c>
      <c r="E573" s="6">
        <v>74716</v>
      </c>
      <c r="F573" s="6">
        <v>0</v>
      </c>
      <c r="G573" s="6">
        <v>0</v>
      </c>
      <c r="H573">
        <v>2021</v>
      </c>
    </row>
    <row r="574" spans="1:8">
      <c r="A574" t="s">
        <v>99</v>
      </c>
      <c r="B574" t="s">
        <v>98</v>
      </c>
      <c r="C574" t="s">
        <v>605</v>
      </c>
      <c r="D574" t="s">
        <v>312</v>
      </c>
      <c r="E574" s="6">
        <v>0</v>
      </c>
      <c r="F574" s="6">
        <v>0</v>
      </c>
      <c r="G574" s="6">
        <v>0</v>
      </c>
      <c r="H574">
        <v>2021</v>
      </c>
    </row>
    <row r="575" spans="1:8">
      <c r="A575" t="s">
        <v>99</v>
      </c>
      <c r="B575" t="s">
        <v>98</v>
      </c>
      <c r="C575" t="s">
        <v>607</v>
      </c>
      <c r="D575" t="s">
        <v>310</v>
      </c>
      <c r="E575" s="6">
        <v>0</v>
      </c>
      <c r="F575" s="6">
        <v>0</v>
      </c>
      <c r="G575" s="6">
        <v>0</v>
      </c>
      <c r="H575">
        <v>2021</v>
      </c>
    </row>
    <row r="576" spans="1:8">
      <c r="A576" t="s">
        <v>99</v>
      </c>
      <c r="B576" t="s">
        <v>98</v>
      </c>
      <c r="C576" t="s">
        <v>605</v>
      </c>
      <c r="D576" t="s">
        <v>312</v>
      </c>
      <c r="E576" s="6">
        <v>0</v>
      </c>
      <c r="F576" s="6">
        <v>0</v>
      </c>
      <c r="G576" s="6">
        <v>0</v>
      </c>
      <c r="H576">
        <v>2020</v>
      </c>
    </row>
    <row r="577" spans="1:8">
      <c r="A577" t="s">
        <v>99</v>
      </c>
      <c r="B577" t="s">
        <v>98</v>
      </c>
      <c r="C577" t="s">
        <v>608</v>
      </c>
      <c r="D577" t="s">
        <v>308</v>
      </c>
      <c r="E577" s="6">
        <v>0</v>
      </c>
      <c r="F577" s="6">
        <v>0</v>
      </c>
      <c r="G577" s="6">
        <v>0</v>
      </c>
      <c r="H577">
        <v>2020</v>
      </c>
    </row>
    <row r="578" spans="1:8">
      <c r="A578" t="s">
        <v>99</v>
      </c>
      <c r="B578" t="s">
        <v>98</v>
      </c>
      <c r="C578" t="s">
        <v>609</v>
      </c>
      <c r="D578" t="s">
        <v>308</v>
      </c>
      <c r="E578" s="6">
        <v>0</v>
      </c>
      <c r="F578" s="6">
        <v>0</v>
      </c>
      <c r="G578" s="6">
        <v>0</v>
      </c>
      <c r="H578">
        <v>2020</v>
      </c>
    </row>
    <row r="579" spans="1:8">
      <c r="A579" t="s">
        <v>99</v>
      </c>
      <c r="B579" t="s">
        <v>98</v>
      </c>
      <c r="C579" t="s">
        <v>605</v>
      </c>
      <c r="D579" t="s">
        <v>312</v>
      </c>
      <c r="E579" s="6">
        <v>0</v>
      </c>
      <c r="F579" s="6">
        <v>0</v>
      </c>
      <c r="G579" s="6">
        <v>0</v>
      </c>
      <c r="H579">
        <v>2019</v>
      </c>
    </row>
    <row r="580" spans="1:8">
      <c r="A580" t="s">
        <v>99</v>
      </c>
      <c r="B580" t="s">
        <v>98</v>
      </c>
      <c r="C580" t="s">
        <v>610</v>
      </c>
      <c r="D580" t="s">
        <v>554</v>
      </c>
      <c r="E580" s="6">
        <v>0</v>
      </c>
      <c r="F580" s="6">
        <v>0</v>
      </c>
      <c r="G580" s="6">
        <v>0</v>
      </c>
      <c r="H580">
        <v>2019</v>
      </c>
    </row>
    <row r="581" spans="1:8">
      <c r="A581" t="s">
        <v>99</v>
      </c>
      <c r="B581" t="s">
        <v>98</v>
      </c>
      <c r="C581" t="s">
        <v>611</v>
      </c>
      <c r="D581" t="s">
        <v>315</v>
      </c>
      <c r="E581" s="6">
        <v>0</v>
      </c>
      <c r="F581" s="6">
        <v>0</v>
      </c>
      <c r="G581" s="6">
        <v>0</v>
      </c>
      <c r="H581">
        <v>2019</v>
      </c>
    </row>
    <row r="582" spans="1:8">
      <c r="A582" t="s">
        <v>99</v>
      </c>
      <c r="B582" t="s">
        <v>98</v>
      </c>
      <c r="C582" t="s">
        <v>605</v>
      </c>
      <c r="D582" t="s">
        <v>312</v>
      </c>
      <c r="E582" s="6">
        <v>0</v>
      </c>
      <c r="F582" s="6">
        <v>0</v>
      </c>
      <c r="G582" s="6">
        <v>0</v>
      </c>
      <c r="H582">
        <v>2018</v>
      </c>
    </row>
    <row r="583" spans="1:8">
      <c r="A583" t="s">
        <v>99</v>
      </c>
      <c r="B583" t="s">
        <v>98</v>
      </c>
      <c r="C583" t="s">
        <v>610</v>
      </c>
      <c r="D583" t="s">
        <v>554</v>
      </c>
      <c r="E583" s="6">
        <v>40387</v>
      </c>
      <c r="F583" s="6">
        <v>0</v>
      </c>
      <c r="G583" s="6">
        <v>0</v>
      </c>
      <c r="H583">
        <v>2018</v>
      </c>
    </row>
    <row r="584" spans="1:8">
      <c r="A584" t="s">
        <v>99</v>
      </c>
      <c r="B584" t="s">
        <v>98</v>
      </c>
      <c r="C584" t="s">
        <v>611</v>
      </c>
      <c r="D584" t="s">
        <v>315</v>
      </c>
      <c r="E584" s="6">
        <v>0</v>
      </c>
      <c r="F584" s="6">
        <v>0</v>
      </c>
      <c r="G584" s="6">
        <v>0</v>
      </c>
      <c r="H584">
        <v>2018</v>
      </c>
    </row>
    <row r="585" spans="1:8">
      <c r="A585" t="s">
        <v>99</v>
      </c>
      <c r="B585" t="s">
        <v>98</v>
      </c>
      <c r="C585" t="s">
        <v>612</v>
      </c>
      <c r="D585" t="s">
        <v>554</v>
      </c>
      <c r="E585" s="6">
        <v>45915</v>
      </c>
      <c r="F585" s="6">
        <v>0</v>
      </c>
      <c r="G585" s="6">
        <v>0</v>
      </c>
      <c r="H585">
        <v>2017</v>
      </c>
    </row>
    <row r="586" spans="1:8">
      <c r="A586" t="s">
        <v>99</v>
      </c>
      <c r="B586" t="s">
        <v>98</v>
      </c>
      <c r="C586" t="s">
        <v>613</v>
      </c>
      <c r="D586" t="s">
        <v>614</v>
      </c>
      <c r="E586" s="6">
        <v>44731</v>
      </c>
      <c r="F586" s="6">
        <v>0</v>
      </c>
      <c r="G586" s="6">
        <v>0</v>
      </c>
      <c r="H586">
        <v>2017</v>
      </c>
    </row>
    <row r="587" spans="1:8">
      <c r="A587" t="s">
        <v>99</v>
      </c>
      <c r="B587" t="s">
        <v>98</v>
      </c>
      <c r="C587" t="s">
        <v>615</v>
      </c>
      <c r="D587" t="s">
        <v>324</v>
      </c>
      <c r="E587" s="6">
        <v>0</v>
      </c>
      <c r="F587" s="6">
        <v>0</v>
      </c>
      <c r="G587" s="6">
        <v>0</v>
      </c>
      <c r="H587">
        <v>2017</v>
      </c>
    </row>
    <row r="588" spans="1:8">
      <c r="A588" t="s">
        <v>99</v>
      </c>
      <c r="B588" t="s">
        <v>98</v>
      </c>
      <c r="C588" t="s">
        <v>613</v>
      </c>
      <c r="D588" t="s">
        <v>614</v>
      </c>
      <c r="E588" s="6">
        <v>0</v>
      </c>
      <c r="F588" s="6">
        <v>0</v>
      </c>
      <c r="G588" s="6">
        <v>0</v>
      </c>
      <c r="H588">
        <v>2016</v>
      </c>
    </row>
    <row r="589" spans="1:8">
      <c r="A589" t="s">
        <v>99</v>
      </c>
      <c r="B589" t="s">
        <v>98</v>
      </c>
      <c r="C589" t="s">
        <v>612</v>
      </c>
      <c r="D589" t="s">
        <v>554</v>
      </c>
      <c r="E589" s="6">
        <v>24231</v>
      </c>
      <c r="F589" s="6">
        <v>0</v>
      </c>
      <c r="G589" s="6">
        <v>0</v>
      </c>
      <c r="H589">
        <v>2016</v>
      </c>
    </row>
    <row r="590" spans="1:8">
      <c r="A590" t="s">
        <v>99</v>
      </c>
      <c r="B590" t="s">
        <v>98</v>
      </c>
      <c r="C590" t="s">
        <v>615</v>
      </c>
      <c r="D590" t="s">
        <v>324</v>
      </c>
      <c r="E590" s="6">
        <v>17021</v>
      </c>
      <c r="F590" s="6">
        <v>0</v>
      </c>
      <c r="G590" s="6">
        <v>0</v>
      </c>
      <c r="H590">
        <v>2016</v>
      </c>
    </row>
    <row r="591" spans="1:8">
      <c r="A591" t="s">
        <v>99</v>
      </c>
      <c r="B591" t="s">
        <v>98</v>
      </c>
      <c r="C591" t="s">
        <v>613</v>
      </c>
      <c r="D591" t="s">
        <v>614</v>
      </c>
      <c r="E591" s="6">
        <v>0</v>
      </c>
      <c r="F591" s="6">
        <v>0</v>
      </c>
      <c r="G591" s="6">
        <v>0</v>
      </c>
      <c r="H591">
        <v>2015</v>
      </c>
    </row>
    <row r="592" spans="1:8">
      <c r="A592" t="s">
        <v>99</v>
      </c>
      <c r="B592" t="s">
        <v>98</v>
      </c>
      <c r="C592" t="s">
        <v>612</v>
      </c>
      <c r="D592" t="s">
        <v>554</v>
      </c>
      <c r="E592" s="6">
        <v>0</v>
      </c>
      <c r="F592" s="6">
        <v>0</v>
      </c>
      <c r="G592" s="6">
        <v>0</v>
      </c>
      <c r="H592">
        <v>2015</v>
      </c>
    </row>
    <row r="593" spans="1:8">
      <c r="A593" t="s">
        <v>99</v>
      </c>
      <c r="B593" t="s">
        <v>98</v>
      </c>
      <c r="C593" t="s">
        <v>615</v>
      </c>
      <c r="D593" t="s">
        <v>308</v>
      </c>
      <c r="E593" s="6">
        <v>0</v>
      </c>
      <c r="F593" s="6">
        <v>0</v>
      </c>
      <c r="G593" s="6">
        <v>0</v>
      </c>
      <c r="H593">
        <v>2015</v>
      </c>
    </row>
    <row r="594" spans="1:8">
      <c r="A594" t="s">
        <v>99</v>
      </c>
      <c r="B594" t="s">
        <v>98</v>
      </c>
      <c r="C594" t="s">
        <v>613</v>
      </c>
      <c r="D594" t="s">
        <v>614</v>
      </c>
      <c r="E594" s="6">
        <v>0</v>
      </c>
      <c r="F594" s="6">
        <v>0</v>
      </c>
      <c r="G594" s="6">
        <v>0</v>
      </c>
      <c r="H594">
        <v>2014</v>
      </c>
    </row>
    <row r="595" spans="1:8">
      <c r="A595" t="s">
        <v>99</v>
      </c>
      <c r="B595" t="s">
        <v>98</v>
      </c>
      <c r="C595" t="s">
        <v>612</v>
      </c>
      <c r="D595" t="s">
        <v>554</v>
      </c>
      <c r="E595" s="6">
        <v>0</v>
      </c>
      <c r="F595" s="6">
        <v>0</v>
      </c>
      <c r="G595" s="6">
        <v>0</v>
      </c>
      <c r="H595">
        <v>2014</v>
      </c>
    </row>
    <row r="596" spans="1:8">
      <c r="A596" t="s">
        <v>99</v>
      </c>
      <c r="B596" t="s">
        <v>98</v>
      </c>
      <c r="C596" t="s">
        <v>615</v>
      </c>
      <c r="D596" t="s">
        <v>308</v>
      </c>
      <c r="E596" s="6">
        <v>0</v>
      </c>
      <c r="F596" s="6">
        <v>0</v>
      </c>
      <c r="G596" s="6">
        <v>0</v>
      </c>
      <c r="H596">
        <v>2014</v>
      </c>
    </row>
  </sheetData>
  <autoFilter ref="A1:H596" xr:uid="{862C5FAD-9D38-4BFD-A785-75DDD7F35FB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0974-132C-4E81-B7F4-2A5CF95F53BC}">
  <sheetPr>
    <tabColor theme="9" tint="0.59999389629810485"/>
  </sheetPr>
  <dimension ref="A1:L1028"/>
  <sheetViews>
    <sheetView topLeftCell="A60" workbookViewId="0">
      <selection activeCell="A88" sqref="A86:XFD88"/>
    </sheetView>
  </sheetViews>
  <sheetFormatPr defaultRowHeight="15.75" customHeight="1"/>
  <cols>
    <col min="1" max="1" width="10.7109375" bestFit="1" customWidth="1"/>
    <col min="2" max="2" width="53.28515625" bestFit="1" customWidth="1"/>
    <col min="3" max="3" width="8.42578125" bestFit="1" customWidth="1"/>
    <col min="4" max="4" width="59.42578125" bestFit="1" customWidth="1"/>
    <col min="5" max="5" width="79.140625" customWidth="1"/>
    <col min="6" max="6" width="9.28515625" bestFit="1" customWidth="1"/>
    <col min="7" max="7" width="11.140625" bestFit="1" customWidth="1"/>
  </cols>
  <sheetData>
    <row r="1" spans="1:12" s="2" customFormat="1" ht="15">
      <c r="A1" s="2" t="s">
        <v>16</v>
      </c>
      <c r="B1" s="2" t="s">
        <v>0</v>
      </c>
      <c r="C1" s="2" t="s">
        <v>631</v>
      </c>
      <c r="D1" s="2" t="s">
        <v>120</v>
      </c>
      <c r="E1" s="2" t="s">
        <v>125</v>
      </c>
      <c r="F1" s="2" t="s">
        <v>248</v>
      </c>
      <c r="G1" s="2" t="s">
        <v>124</v>
      </c>
      <c r="H1" s="2" t="s">
        <v>631</v>
      </c>
      <c r="K1" s="2" t="s">
        <v>120</v>
      </c>
      <c r="L1" s="2" t="s">
        <v>630</v>
      </c>
    </row>
    <row r="2" spans="1:12" ht="15">
      <c r="A2" t="s">
        <v>101</v>
      </c>
      <c r="B2" t="s">
        <v>127</v>
      </c>
      <c r="C2">
        <v>58</v>
      </c>
      <c r="D2" s="7" t="s">
        <v>128</v>
      </c>
      <c r="E2" t="s">
        <v>129</v>
      </c>
      <c r="F2">
        <v>70000</v>
      </c>
      <c r="G2" t="s">
        <v>130</v>
      </c>
      <c r="H2">
        <f>VLOOKUP(D2,$K$2:$L$59,2,FALSE)</f>
        <v>58</v>
      </c>
      <c r="K2" t="s">
        <v>224</v>
      </c>
      <c r="L2">
        <v>1</v>
      </c>
    </row>
    <row r="3" spans="1:12" ht="15">
      <c r="A3" t="s">
        <v>101</v>
      </c>
      <c r="B3" t="s">
        <v>127</v>
      </c>
      <c r="C3">
        <v>38</v>
      </c>
      <c r="D3" s="7" t="s">
        <v>131</v>
      </c>
      <c r="E3" t="s">
        <v>132</v>
      </c>
      <c r="F3">
        <v>35000</v>
      </c>
      <c r="G3" t="s">
        <v>121</v>
      </c>
      <c r="H3">
        <f t="shared" ref="H3:H66" si="0">VLOOKUP(D3,$K$2:$L$59,2,FALSE)</f>
        <v>38</v>
      </c>
      <c r="K3" t="s">
        <v>148</v>
      </c>
      <c r="L3">
        <v>2</v>
      </c>
    </row>
    <row r="4" spans="1:12" ht="15">
      <c r="A4" t="s">
        <v>101</v>
      </c>
      <c r="B4" t="s">
        <v>127</v>
      </c>
      <c r="C4">
        <v>33</v>
      </c>
      <c r="D4" s="7" t="s">
        <v>133</v>
      </c>
      <c r="E4" t="s">
        <v>134</v>
      </c>
      <c r="F4">
        <v>30000</v>
      </c>
      <c r="G4" t="s">
        <v>121</v>
      </c>
      <c r="H4">
        <f t="shared" si="0"/>
        <v>33</v>
      </c>
      <c r="K4" t="s">
        <v>218</v>
      </c>
      <c r="L4">
        <v>3</v>
      </c>
    </row>
    <row r="5" spans="1:12" ht="15">
      <c r="A5" t="s">
        <v>102</v>
      </c>
      <c r="B5" t="s">
        <v>8</v>
      </c>
      <c r="C5">
        <v>10</v>
      </c>
      <c r="D5" s="8" t="s">
        <v>135</v>
      </c>
      <c r="E5" t="s">
        <v>136</v>
      </c>
      <c r="F5">
        <v>142000</v>
      </c>
      <c r="G5" t="s">
        <v>123</v>
      </c>
      <c r="H5">
        <f t="shared" si="0"/>
        <v>10</v>
      </c>
      <c r="K5" t="s">
        <v>151</v>
      </c>
      <c r="L5">
        <v>4</v>
      </c>
    </row>
    <row r="6" spans="1:12" ht="15">
      <c r="A6" t="s">
        <v>102</v>
      </c>
      <c r="B6" t="s">
        <v>8</v>
      </c>
      <c r="C6">
        <v>33</v>
      </c>
      <c r="D6" s="8" t="s">
        <v>133</v>
      </c>
      <c r="E6" t="s">
        <v>134</v>
      </c>
      <c r="F6">
        <v>80000</v>
      </c>
      <c r="G6" t="s">
        <v>121</v>
      </c>
      <c r="H6">
        <f t="shared" si="0"/>
        <v>33</v>
      </c>
      <c r="K6" t="s">
        <v>216</v>
      </c>
      <c r="L6">
        <v>5</v>
      </c>
    </row>
    <row r="7" spans="1:12" ht="15">
      <c r="A7" t="s">
        <v>102</v>
      </c>
      <c r="B7" t="s">
        <v>8</v>
      </c>
      <c r="C7">
        <v>44</v>
      </c>
      <c r="D7" s="8" t="s">
        <v>137</v>
      </c>
      <c r="E7" t="s">
        <v>138</v>
      </c>
      <c r="F7">
        <v>50000</v>
      </c>
      <c r="G7" t="s">
        <v>123</v>
      </c>
      <c r="H7">
        <f t="shared" si="0"/>
        <v>44</v>
      </c>
      <c r="K7" t="s">
        <v>214</v>
      </c>
      <c r="L7">
        <v>6</v>
      </c>
    </row>
    <row r="8" spans="1:12" ht="15">
      <c r="A8" t="s">
        <v>18</v>
      </c>
      <c r="B8" t="s">
        <v>12</v>
      </c>
      <c r="C8">
        <v>29</v>
      </c>
      <c r="D8" s="8" t="s">
        <v>139</v>
      </c>
      <c r="E8" t="s">
        <v>140</v>
      </c>
      <c r="F8">
        <v>805000</v>
      </c>
      <c r="G8" t="s">
        <v>123</v>
      </c>
      <c r="H8">
        <f t="shared" si="0"/>
        <v>29</v>
      </c>
      <c r="K8" t="s">
        <v>189</v>
      </c>
      <c r="L8">
        <v>7</v>
      </c>
    </row>
    <row r="9" spans="1:12" ht="15">
      <c r="A9" t="s">
        <v>18</v>
      </c>
      <c r="B9" t="s">
        <v>12</v>
      </c>
      <c r="C9">
        <v>31</v>
      </c>
      <c r="D9" s="8" t="s">
        <v>141</v>
      </c>
      <c r="E9" t="s">
        <v>138</v>
      </c>
      <c r="F9">
        <v>114501</v>
      </c>
      <c r="G9" t="s">
        <v>123</v>
      </c>
      <c r="H9">
        <f t="shared" si="0"/>
        <v>31</v>
      </c>
      <c r="K9" t="s">
        <v>235</v>
      </c>
      <c r="L9">
        <v>8</v>
      </c>
    </row>
    <row r="10" spans="1:12" ht="15">
      <c r="A10" t="s">
        <v>18</v>
      </c>
      <c r="B10" t="s">
        <v>12</v>
      </c>
      <c r="C10">
        <v>37</v>
      </c>
      <c r="D10" s="8" t="s">
        <v>142</v>
      </c>
      <c r="E10" t="s">
        <v>143</v>
      </c>
      <c r="F10">
        <v>13500</v>
      </c>
      <c r="G10" t="s">
        <v>144</v>
      </c>
      <c r="H10">
        <f t="shared" si="0"/>
        <v>37</v>
      </c>
      <c r="K10" t="s">
        <v>149</v>
      </c>
      <c r="L10">
        <v>9</v>
      </c>
    </row>
    <row r="11" spans="1:12" ht="15">
      <c r="A11" t="s">
        <v>17</v>
      </c>
      <c r="B11" t="s">
        <v>14</v>
      </c>
      <c r="C11">
        <v>24</v>
      </c>
      <c r="D11" s="9" t="s">
        <v>145</v>
      </c>
      <c r="E11" t="s">
        <v>145</v>
      </c>
      <c r="F11" t="s">
        <v>145</v>
      </c>
      <c r="G11" t="s">
        <v>145</v>
      </c>
      <c r="H11">
        <f t="shared" si="0"/>
        <v>24</v>
      </c>
      <c r="K11" t="s">
        <v>135</v>
      </c>
      <c r="L11">
        <v>10</v>
      </c>
    </row>
    <row r="12" spans="1:12" ht="15">
      <c r="A12" t="s">
        <v>20</v>
      </c>
      <c r="B12" t="s">
        <v>19</v>
      </c>
      <c r="C12">
        <v>11</v>
      </c>
      <c r="D12" s="10" t="s">
        <v>146</v>
      </c>
      <c r="E12" t="s">
        <v>147</v>
      </c>
      <c r="F12">
        <v>18123</v>
      </c>
      <c r="G12" t="s">
        <v>123</v>
      </c>
      <c r="H12">
        <f t="shared" si="0"/>
        <v>11</v>
      </c>
      <c r="K12" t="s">
        <v>146</v>
      </c>
      <c r="L12">
        <v>11</v>
      </c>
    </row>
    <row r="13" spans="1:12" ht="15">
      <c r="A13" t="s">
        <v>20</v>
      </c>
      <c r="B13" t="s">
        <v>19</v>
      </c>
      <c r="C13">
        <v>2</v>
      </c>
      <c r="D13" s="10" t="s">
        <v>148</v>
      </c>
      <c r="E13" t="s">
        <v>138</v>
      </c>
      <c r="F13">
        <v>78</v>
      </c>
      <c r="G13" t="s">
        <v>123</v>
      </c>
      <c r="H13">
        <f t="shared" si="0"/>
        <v>2</v>
      </c>
      <c r="K13" t="s">
        <v>201</v>
      </c>
      <c r="L13">
        <v>12</v>
      </c>
    </row>
    <row r="14" spans="1:12" ht="15">
      <c r="A14" t="s">
        <v>23</v>
      </c>
      <c r="B14" t="s">
        <v>21</v>
      </c>
      <c r="C14">
        <v>9</v>
      </c>
      <c r="D14" s="11" t="s">
        <v>149</v>
      </c>
      <c r="E14" t="s">
        <v>150</v>
      </c>
      <c r="F14">
        <v>28452</v>
      </c>
      <c r="G14" t="s">
        <v>123</v>
      </c>
      <c r="H14">
        <f t="shared" si="0"/>
        <v>9</v>
      </c>
      <c r="K14" t="s">
        <v>174</v>
      </c>
      <c r="L14">
        <v>13</v>
      </c>
    </row>
    <row r="15" spans="1:12" ht="15">
      <c r="A15" t="s">
        <v>23</v>
      </c>
      <c r="B15" t="s">
        <v>21</v>
      </c>
      <c r="C15">
        <v>4</v>
      </c>
      <c r="D15" s="11" t="s">
        <v>151</v>
      </c>
      <c r="E15" t="s">
        <v>138</v>
      </c>
      <c r="F15">
        <v>21108</v>
      </c>
      <c r="G15" t="s">
        <v>152</v>
      </c>
      <c r="H15">
        <f t="shared" si="0"/>
        <v>4</v>
      </c>
      <c r="K15" t="s">
        <v>226</v>
      </c>
      <c r="L15">
        <v>14</v>
      </c>
    </row>
    <row r="16" spans="1:12" ht="15">
      <c r="A16" t="s">
        <v>23</v>
      </c>
      <c r="B16" t="s">
        <v>21</v>
      </c>
      <c r="C16">
        <v>23</v>
      </c>
      <c r="D16" s="11" t="s">
        <v>153</v>
      </c>
      <c r="E16" t="s">
        <v>154</v>
      </c>
      <c r="F16">
        <v>20000</v>
      </c>
      <c r="G16" t="s">
        <v>144</v>
      </c>
      <c r="H16">
        <f t="shared" si="0"/>
        <v>23</v>
      </c>
      <c r="K16" t="s">
        <v>203</v>
      </c>
      <c r="L16">
        <v>15</v>
      </c>
    </row>
    <row r="17" spans="1:12" ht="15">
      <c r="A17" t="s">
        <v>25</v>
      </c>
      <c r="B17" t="s">
        <v>24</v>
      </c>
      <c r="C17">
        <v>49</v>
      </c>
      <c r="D17" s="11" t="s">
        <v>155</v>
      </c>
      <c r="E17" t="s">
        <v>156</v>
      </c>
      <c r="F17">
        <v>53279</v>
      </c>
      <c r="G17" t="s">
        <v>144</v>
      </c>
      <c r="H17">
        <f t="shared" si="0"/>
        <v>49</v>
      </c>
      <c r="K17" t="s">
        <v>222</v>
      </c>
      <c r="L17">
        <v>16</v>
      </c>
    </row>
    <row r="18" spans="1:12" ht="15">
      <c r="A18" t="s">
        <v>25</v>
      </c>
      <c r="B18" t="s">
        <v>24</v>
      </c>
      <c r="C18">
        <v>30</v>
      </c>
      <c r="D18" s="11" t="s">
        <v>157</v>
      </c>
      <c r="E18" t="s">
        <v>158</v>
      </c>
      <c r="F18">
        <v>50500</v>
      </c>
      <c r="G18" t="s">
        <v>144</v>
      </c>
      <c r="H18">
        <f t="shared" si="0"/>
        <v>30</v>
      </c>
      <c r="K18" t="s">
        <v>632</v>
      </c>
      <c r="L18">
        <v>17</v>
      </c>
    </row>
    <row r="19" spans="1:12" ht="15">
      <c r="A19" t="s">
        <v>25</v>
      </c>
      <c r="B19" t="s">
        <v>24</v>
      </c>
      <c r="C19">
        <v>28</v>
      </c>
      <c r="D19" s="11" t="s">
        <v>159</v>
      </c>
      <c r="E19" t="s">
        <v>160</v>
      </c>
      <c r="F19">
        <v>50000</v>
      </c>
      <c r="G19" t="s">
        <v>123</v>
      </c>
      <c r="H19">
        <f t="shared" si="0"/>
        <v>28</v>
      </c>
      <c r="K19" t="s">
        <v>170</v>
      </c>
      <c r="L19">
        <v>18</v>
      </c>
    </row>
    <row r="20" spans="1:12" ht="15">
      <c r="A20" t="s">
        <v>29</v>
      </c>
      <c r="B20" t="s">
        <v>27</v>
      </c>
      <c r="C20">
        <v>21</v>
      </c>
      <c r="D20" s="11" t="s">
        <v>161</v>
      </c>
      <c r="E20" t="s">
        <v>162</v>
      </c>
      <c r="F20">
        <v>105399</v>
      </c>
      <c r="G20" t="s">
        <v>163</v>
      </c>
      <c r="H20">
        <f t="shared" si="0"/>
        <v>21</v>
      </c>
      <c r="K20" t="s">
        <v>164</v>
      </c>
      <c r="L20">
        <v>19</v>
      </c>
    </row>
    <row r="21" spans="1:12" ht="15">
      <c r="A21" t="s">
        <v>29</v>
      </c>
      <c r="B21" t="s">
        <v>27</v>
      </c>
      <c r="C21">
        <v>19</v>
      </c>
      <c r="D21" s="11" t="s">
        <v>164</v>
      </c>
      <c r="E21" t="s">
        <v>165</v>
      </c>
      <c r="F21">
        <v>50000</v>
      </c>
      <c r="G21" t="s">
        <v>123</v>
      </c>
      <c r="H21">
        <f t="shared" si="0"/>
        <v>19</v>
      </c>
      <c r="K21" t="s">
        <v>196</v>
      </c>
      <c r="L21">
        <v>20</v>
      </c>
    </row>
    <row r="22" spans="1:12" ht="15">
      <c r="A22" t="s">
        <v>29</v>
      </c>
      <c r="B22" t="s">
        <v>27</v>
      </c>
      <c r="C22">
        <v>45</v>
      </c>
      <c r="D22" s="11" t="s">
        <v>166</v>
      </c>
      <c r="E22" t="s">
        <v>167</v>
      </c>
      <c r="F22">
        <v>50000</v>
      </c>
      <c r="G22" t="s">
        <v>123</v>
      </c>
      <c r="H22">
        <f t="shared" si="0"/>
        <v>45</v>
      </c>
      <c r="K22" t="s">
        <v>161</v>
      </c>
      <c r="L22">
        <v>21</v>
      </c>
    </row>
    <row r="23" spans="1:12" ht="15">
      <c r="A23" t="s">
        <v>32</v>
      </c>
      <c r="B23" t="s">
        <v>30</v>
      </c>
      <c r="C23">
        <v>37</v>
      </c>
      <c r="D23" s="11" t="s">
        <v>142</v>
      </c>
      <c r="E23" t="s">
        <v>168</v>
      </c>
      <c r="F23">
        <v>31000</v>
      </c>
      <c r="G23" t="s">
        <v>144</v>
      </c>
      <c r="H23">
        <f t="shared" si="0"/>
        <v>37</v>
      </c>
      <c r="K23" t="s">
        <v>204</v>
      </c>
      <c r="L23">
        <v>22</v>
      </c>
    </row>
    <row r="24" spans="1:12" ht="15">
      <c r="A24" t="s">
        <v>32</v>
      </c>
      <c r="B24" t="s">
        <v>30</v>
      </c>
      <c r="C24">
        <v>51</v>
      </c>
      <c r="D24" s="11" t="s">
        <v>169</v>
      </c>
      <c r="F24">
        <v>10000</v>
      </c>
      <c r="G24" t="s">
        <v>121</v>
      </c>
      <c r="H24">
        <f t="shared" si="0"/>
        <v>51</v>
      </c>
      <c r="K24" t="s">
        <v>153</v>
      </c>
      <c r="L24">
        <v>23</v>
      </c>
    </row>
    <row r="25" spans="1:12" ht="15">
      <c r="A25" t="s">
        <v>32</v>
      </c>
      <c r="B25" t="s">
        <v>30</v>
      </c>
      <c r="C25">
        <v>18</v>
      </c>
      <c r="D25" s="11" t="s">
        <v>170</v>
      </c>
      <c r="E25" t="s">
        <v>167</v>
      </c>
      <c r="F25">
        <v>2000</v>
      </c>
      <c r="G25" t="s">
        <v>171</v>
      </c>
      <c r="H25">
        <f t="shared" si="0"/>
        <v>18</v>
      </c>
      <c r="K25" t="s">
        <v>145</v>
      </c>
      <c r="L25">
        <v>24</v>
      </c>
    </row>
    <row r="26" spans="1:12" ht="15">
      <c r="A26" t="s">
        <v>35</v>
      </c>
      <c r="B26" t="s">
        <v>33</v>
      </c>
      <c r="C26">
        <v>46</v>
      </c>
      <c r="D26" s="11" t="s">
        <v>172</v>
      </c>
      <c r="E26" t="s">
        <v>173</v>
      </c>
      <c r="F26">
        <v>1600000</v>
      </c>
      <c r="G26" t="s">
        <v>163</v>
      </c>
      <c r="H26">
        <f t="shared" si="0"/>
        <v>46</v>
      </c>
      <c r="K26" t="s">
        <v>230</v>
      </c>
      <c r="L26">
        <v>25</v>
      </c>
    </row>
    <row r="27" spans="1:12" ht="15">
      <c r="A27" t="s">
        <v>35</v>
      </c>
      <c r="B27" t="s">
        <v>33</v>
      </c>
      <c r="C27">
        <v>13</v>
      </c>
      <c r="D27" s="11" t="s">
        <v>174</v>
      </c>
      <c r="E27" t="s">
        <v>175</v>
      </c>
      <c r="F27">
        <v>50000</v>
      </c>
      <c r="G27" t="s">
        <v>144</v>
      </c>
      <c r="H27">
        <f t="shared" si="0"/>
        <v>13</v>
      </c>
      <c r="K27" t="s">
        <v>186</v>
      </c>
      <c r="L27">
        <v>26</v>
      </c>
    </row>
    <row r="28" spans="1:12" ht="15">
      <c r="A28" t="s">
        <v>38</v>
      </c>
      <c r="B28" t="s">
        <v>36</v>
      </c>
      <c r="C28">
        <v>24</v>
      </c>
      <c r="D28" s="9" t="s">
        <v>145</v>
      </c>
      <c r="E28" t="s">
        <v>145</v>
      </c>
      <c r="F28" t="s">
        <v>145</v>
      </c>
      <c r="G28" t="s">
        <v>145</v>
      </c>
      <c r="H28">
        <f t="shared" si="0"/>
        <v>24</v>
      </c>
      <c r="K28" t="s">
        <v>240</v>
      </c>
      <c r="L28">
        <v>27</v>
      </c>
    </row>
    <row r="29" spans="1:12" ht="15">
      <c r="A29" t="s">
        <v>40</v>
      </c>
      <c r="B29" t="s">
        <v>100</v>
      </c>
      <c r="C29">
        <v>48</v>
      </c>
      <c r="D29" s="11" t="s">
        <v>176</v>
      </c>
      <c r="E29" t="s">
        <v>177</v>
      </c>
      <c r="F29">
        <v>5000</v>
      </c>
      <c r="G29" t="s">
        <v>178</v>
      </c>
      <c r="H29">
        <f t="shared" si="0"/>
        <v>48</v>
      </c>
      <c r="K29" t="s">
        <v>159</v>
      </c>
      <c r="L29">
        <v>28</v>
      </c>
    </row>
    <row r="30" spans="1:12" ht="15">
      <c r="A30" t="s">
        <v>42</v>
      </c>
      <c r="B30" t="s">
        <v>41</v>
      </c>
      <c r="C30">
        <v>13</v>
      </c>
      <c r="D30" s="11" t="s">
        <v>174</v>
      </c>
      <c r="E30" t="s">
        <v>175</v>
      </c>
      <c r="F30">
        <v>25250</v>
      </c>
      <c r="G30" t="s">
        <v>144</v>
      </c>
      <c r="H30">
        <f t="shared" si="0"/>
        <v>13</v>
      </c>
      <c r="K30" t="s">
        <v>139</v>
      </c>
      <c r="L30">
        <v>29</v>
      </c>
    </row>
    <row r="31" spans="1:12" ht="15">
      <c r="A31" t="s">
        <v>42</v>
      </c>
      <c r="B31" t="s">
        <v>41</v>
      </c>
      <c r="C31">
        <v>55</v>
      </c>
      <c r="D31" s="11" t="s">
        <v>179</v>
      </c>
      <c r="E31" t="s">
        <v>180</v>
      </c>
      <c r="F31">
        <v>10000</v>
      </c>
      <c r="G31" t="s">
        <v>121</v>
      </c>
      <c r="H31">
        <f t="shared" si="0"/>
        <v>55</v>
      </c>
      <c r="K31" t="s">
        <v>157</v>
      </c>
      <c r="L31">
        <v>30</v>
      </c>
    </row>
    <row r="32" spans="1:12" ht="15">
      <c r="A32" t="s">
        <v>42</v>
      </c>
      <c r="B32" t="s">
        <v>41</v>
      </c>
      <c r="C32">
        <v>40</v>
      </c>
      <c r="D32" s="11" t="s">
        <v>181</v>
      </c>
      <c r="E32" t="s">
        <v>182</v>
      </c>
      <c r="F32">
        <v>10000</v>
      </c>
      <c r="G32" t="s">
        <v>123</v>
      </c>
      <c r="H32">
        <f t="shared" si="0"/>
        <v>40</v>
      </c>
      <c r="K32" t="s">
        <v>141</v>
      </c>
      <c r="L32">
        <v>31</v>
      </c>
    </row>
    <row r="33" spans="1:12" ht="15">
      <c r="A33" t="s">
        <v>46</v>
      </c>
      <c r="B33" t="s">
        <v>44</v>
      </c>
      <c r="C33">
        <v>30</v>
      </c>
      <c r="D33" s="11" t="s">
        <v>157</v>
      </c>
      <c r="E33" t="s">
        <v>183</v>
      </c>
      <c r="F33">
        <v>30000</v>
      </c>
      <c r="G33" t="s">
        <v>184</v>
      </c>
      <c r="H33">
        <f t="shared" si="0"/>
        <v>30</v>
      </c>
      <c r="K33" t="s">
        <v>246</v>
      </c>
      <c r="L33">
        <v>32</v>
      </c>
    </row>
    <row r="34" spans="1:12" ht="15">
      <c r="A34" t="s">
        <v>46</v>
      </c>
      <c r="B34" t="s">
        <v>44</v>
      </c>
      <c r="C34">
        <v>44</v>
      </c>
      <c r="D34" s="11" t="s">
        <v>137</v>
      </c>
      <c r="E34" t="s">
        <v>185</v>
      </c>
      <c r="F34">
        <v>25000</v>
      </c>
      <c r="G34" t="s">
        <v>123</v>
      </c>
      <c r="H34">
        <f t="shared" si="0"/>
        <v>44</v>
      </c>
      <c r="K34" t="s">
        <v>133</v>
      </c>
      <c r="L34">
        <v>33</v>
      </c>
    </row>
    <row r="35" spans="1:12" ht="15">
      <c r="A35" t="s">
        <v>46</v>
      </c>
      <c r="B35" t="s">
        <v>44</v>
      </c>
      <c r="C35">
        <v>26</v>
      </c>
      <c r="D35" s="11" t="s">
        <v>186</v>
      </c>
      <c r="E35" t="s">
        <v>187</v>
      </c>
      <c r="F35">
        <v>18214</v>
      </c>
      <c r="G35" t="s">
        <v>188</v>
      </c>
      <c r="H35">
        <f t="shared" si="0"/>
        <v>26</v>
      </c>
      <c r="K35" t="s">
        <v>192</v>
      </c>
      <c r="L35">
        <v>34</v>
      </c>
    </row>
    <row r="36" spans="1:12" ht="15">
      <c r="A36" t="s">
        <v>48</v>
      </c>
      <c r="B36" t="s">
        <v>47</v>
      </c>
      <c r="C36">
        <v>24</v>
      </c>
      <c r="D36" s="9" t="s">
        <v>145</v>
      </c>
      <c r="E36" t="s">
        <v>145</v>
      </c>
      <c r="F36" t="s">
        <v>145</v>
      </c>
      <c r="G36" t="s">
        <v>145</v>
      </c>
      <c r="H36">
        <f t="shared" si="0"/>
        <v>24</v>
      </c>
      <c r="K36" t="s">
        <v>194</v>
      </c>
      <c r="L36">
        <v>35</v>
      </c>
    </row>
    <row r="37" spans="1:12" ht="15">
      <c r="A37" t="s">
        <v>51</v>
      </c>
      <c r="B37" t="s">
        <v>50</v>
      </c>
      <c r="C37">
        <v>7</v>
      </c>
      <c r="D37" s="11" t="s">
        <v>189</v>
      </c>
      <c r="E37" t="s">
        <v>190</v>
      </c>
      <c r="F37">
        <v>1500</v>
      </c>
      <c r="G37" t="s">
        <v>123</v>
      </c>
      <c r="H37">
        <f t="shared" si="0"/>
        <v>7</v>
      </c>
      <c r="K37" t="s">
        <v>208</v>
      </c>
      <c r="L37">
        <v>36</v>
      </c>
    </row>
    <row r="38" spans="1:12" ht="15">
      <c r="A38" t="s">
        <v>54</v>
      </c>
      <c r="B38" t="s">
        <v>53</v>
      </c>
      <c r="C38">
        <v>49</v>
      </c>
      <c r="D38" s="11" t="s">
        <v>155</v>
      </c>
      <c r="E38" t="s">
        <v>191</v>
      </c>
      <c r="F38">
        <v>8500</v>
      </c>
      <c r="G38" t="s">
        <v>184</v>
      </c>
      <c r="H38">
        <f t="shared" si="0"/>
        <v>49</v>
      </c>
      <c r="K38" t="s">
        <v>142</v>
      </c>
      <c r="L38">
        <v>37</v>
      </c>
    </row>
    <row r="39" spans="1:12" ht="15">
      <c r="A39" t="s">
        <v>54</v>
      </c>
      <c r="B39" t="s">
        <v>53</v>
      </c>
      <c r="C39">
        <v>2</v>
      </c>
      <c r="D39" s="11" t="s">
        <v>148</v>
      </c>
      <c r="E39" t="s">
        <v>138</v>
      </c>
      <c r="F39">
        <v>60</v>
      </c>
      <c r="G39" t="s">
        <v>123</v>
      </c>
      <c r="H39">
        <f t="shared" si="0"/>
        <v>2</v>
      </c>
      <c r="K39" t="s">
        <v>131</v>
      </c>
      <c r="L39">
        <v>38</v>
      </c>
    </row>
    <row r="40" spans="1:12" ht="15">
      <c r="A40" t="s">
        <v>56</v>
      </c>
      <c r="B40" t="s">
        <v>55</v>
      </c>
      <c r="C40">
        <v>34</v>
      </c>
      <c r="D40" s="11" t="s">
        <v>192</v>
      </c>
      <c r="E40" t="s">
        <v>193</v>
      </c>
      <c r="F40">
        <v>1000</v>
      </c>
      <c r="G40" t="s">
        <v>121</v>
      </c>
      <c r="H40">
        <f t="shared" si="0"/>
        <v>34</v>
      </c>
      <c r="K40" t="s">
        <v>239</v>
      </c>
      <c r="L40">
        <v>39</v>
      </c>
    </row>
    <row r="41" spans="1:12" ht="15">
      <c r="A41" t="s">
        <v>59</v>
      </c>
      <c r="B41" t="s">
        <v>58</v>
      </c>
      <c r="C41">
        <v>2</v>
      </c>
      <c r="D41" s="8" t="s">
        <v>148</v>
      </c>
      <c r="E41" t="s">
        <v>138</v>
      </c>
      <c r="F41">
        <v>11</v>
      </c>
      <c r="G41" t="s">
        <v>123</v>
      </c>
      <c r="H41">
        <f t="shared" si="0"/>
        <v>2</v>
      </c>
      <c r="K41" t="s">
        <v>181</v>
      </c>
      <c r="L41">
        <v>40</v>
      </c>
    </row>
    <row r="42" spans="1:12" ht="15">
      <c r="A42" t="s">
        <v>62</v>
      </c>
      <c r="B42" t="s">
        <v>61</v>
      </c>
      <c r="C42">
        <v>35</v>
      </c>
      <c r="D42" s="12" t="s">
        <v>194</v>
      </c>
      <c r="E42" t="s">
        <v>195</v>
      </c>
      <c r="F42">
        <v>25000</v>
      </c>
      <c r="G42" t="s">
        <v>123</v>
      </c>
      <c r="H42">
        <f t="shared" si="0"/>
        <v>35</v>
      </c>
      <c r="K42" t="s">
        <v>242</v>
      </c>
      <c r="L42">
        <v>41</v>
      </c>
    </row>
    <row r="43" spans="1:12" ht="15">
      <c r="A43" t="s">
        <v>62</v>
      </c>
      <c r="B43" t="s">
        <v>61</v>
      </c>
      <c r="C43">
        <v>13</v>
      </c>
      <c r="D43" s="12" t="s">
        <v>174</v>
      </c>
      <c r="E43" t="s">
        <v>175</v>
      </c>
      <c r="F43">
        <v>10100</v>
      </c>
      <c r="G43" t="s">
        <v>144</v>
      </c>
      <c r="H43">
        <f t="shared" si="0"/>
        <v>13</v>
      </c>
      <c r="K43" t="s">
        <v>220</v>
      </c>
      <c r="L43">
        <v>42</v>
      </c>
    </row>
    <row r="44" spans="1:12" ht="15">
      <c r="A44" t="s">
        <v>62</v>
      </c>
      <c r="B44" t="s">
        <v>61</v>
      </c>
      <c r="C44">
        <v>37</v>
      </c>
      <c r="D44" s="12" t="s">
        <v>142</v>
      </c>
      <c r="E44" t="s">
        <v>143</v>
      </c>
      <c r="F44">
        <v>6500</v>
      </c>
      <c r="G44" t="s">
        <v>144</v>
      </c>
      <c r="H44">
        <f t="shared" si="0"/>
        <v>37</v>
      </c>
      <c r="K44" t="s">
        <v>244</v>
      </c>
      <c r="L44">
        <v>43</v>
      </c>
    </row>
    <row r="45" spans="1:12" ht="15">
      <c r="A45" t="s">
        <v>65</v>
      </c>
      <c r="B45" t="s">
        <v>64</v>
      </c>
      <c r="C45">
        <v>20</v>
      </c>
      <c r="D45" s="12" t="s">
        <v>196</v>
      </c>
      <c r="E45" t="s">
        <v>132</v>
      </c>
      <c r="F45">
        <v>150000</v>
      </c>
      <c r="G45" t="s">
        <v>121</v>
      </c>
      <c r="H45">
        <f t="shared" si="0"/>
        <v>20</v>
      </c>
      <c r="K45" t="s">
        <v>137</v>
      </c>
      <c r="L45">
        <v>44</v>
      </c>
    </row>
    <row r="46" spans="1:12" ht="15">
      <c r="A46" t="s">
        <v>65</v>
      </c>
      <c r="B46" t="s">
        <v>64</v>
      </c>
      <c r="C46">
        <v>13</v>
      </c>
      <c r="D46" s="12" t="s">
        <v>174</v>
      </c>
      <c r="E46" t="s">
        <v>175</v>
      </c>
      <c r="F46">
        <v>8800</v>
      </c>
      <c r="G46" t="s">
        <v>144</v>
      </c>
      <c r="H46">
        <f t="shared" si="0"/>
        <v>13</v>
      </c>
      <c r="K46" t="s">
        <v>166</v>
      </c>
      <c r="L46">
        <v>45</v>
      </c>
    </row>
    <row r="47" spans="1:12" ht="15">
      <c r="A47" t="s">
        <v>65</v>
      </c>
      <c r="B47" t="s">
        <v>64</v>
      </c>
      <c r="C47">
        <v>2</v>
      </c>
      <c r="D47" s="12" t="s">
        <v>148</v>
      </c>
      <c r="E47" t="s">
        <v>138</v>
      </c>
      <c r="F47">
        <v>237</v>
      </c>
      <c r="G47" t="s">
        <v>123</v>
      </c>
      <c r="H47">
        <f t="shared" si="0"/>
        <v>2</v>
      </c>
      <c r="K47" t="s">
        <v>172</v>
      </c>
      <c r="L47">
        <v>46</v>
      </c>
    </row>
    <row r="48" spans="1:12" ht="15">
      <c r="A48" t="s">
        <v>69</v>
      </c>
      <c r="B48" t="s">
        <v>67</v>
      </c>
      <c r="C48">
        <v>13</v>
      </c>
      <c r="D48" s="12" t="s">
        <v>174</v>
      </c>
      <c r="E48" t="s">
        <v>175</v>
      </c>
      <c r="F48">
        <v>1012409</v>
      </c>
      <c r="G48" t="s">
        <v>144</v>
      </c>
      <c r="H48">
        <f t="shared" si="0"/>
        <v>13</v>
      </c>
      <c r="K48" t="s">
        <v>206</v>
      </c>
      <c r="L48">
        <v>47</v>
      </c>
    </row>
    <row r="49" spans="1:12" ht="15">
      <c r="A49" t="s">
        <v>69</v>
      </c>
      <c r="B49" t="s">
        <v>67</v>
      </c>
      <c r="C49">
        <v>50</v>
      </c>
      <c r="D49" s="12" t="s">
        <v>197</v>
      </c>
      <c r="E49" t="s">
        <v>198</v>
      </c>
      <c r="F49">
        <v>250000</v>
      </c>
      <c r="G49" t="s">
        <v>123</v>
      </c>
      <c r="H49">
        <f t="shared" si="0"/>
        <v>50</v>
      </c>
      <c r="K49" t="s">
        <v>176</v>
      </c>
      <c r="L49">
        <v>48</v>
      </c>
    </row>
    <row r="50" spans="1:12" ht="15">
      <c r="A50" t="s">
        <v>69</v>
      </c>
      <c r="B50" t="s">
        <v>67</v>
      </c>
      <c r="C50">
        <v>37</v>
      </c>
      <c r="D50" s="12" t="s">
        <v>142</v>
      </c>
      <c r="E50" t="s">
        <v>199</v>
      </c>
      <c r="F50">
        <v>125000</v>
      </c>
      <c r="G50" t="s">
        <v>144</v>
      </c>
      <c r="H50">
        <f t="shared" si="0"/>
        <v>37</v>
      </c>
      <c r="K50" t="s">
        <v>155</v>
      </c>
      <c r="L50">
        <v>49</v>
      </c>
    </row>
    <row r="51" spans="1:12" ht="15">
      <c r="A51" t="s">
        <v>72</v>
      </c>
      <c r="B51" t="s">
        <v>70</v>
      </c>
      <c r="C51">
        <v>33</v>
      </c>
      <c r="D51" s="12" t="s">
        <v>133</v>
      </c>
      <c r="E51" t="s">
        <v>134</v>
      </c>
      <c r="F51">
        <v>86000</v>
      </c>
      <c r="G51" t="s">
        <v>121</v>
      </c>
      <c r="H51">
        <f t="shared" si="0"/>
        <v>33</v>
      </c>
      <c r="K51" t="s">
        <v>197</v>
      </c>
      <c r="L51">
        <v>50</v>
      </c>
    </row>
    <row r="52" spans="1:12" ht="15">
      <c r="A52" t="s">
        <v>72</v>
      </c>
      <c r="B52" t="s">
        <v>70</v>
      </c>
      <c r="C52">
        <v>37</v>
      </c>
      <c r="D52" s="12" t="s">
        <v>142</v>
      </c>
      <c r="E52" t="s">
        <v>168</v>
      </c>
      <c r="F52">
        <v>85900</v>
      </c>
      <c r="G52" t="s">
        <v>144</v>
      </c>
      <c r="H52">
        <f t="shared" si="0"/>
        <v>37</v>
      </c>
      <c r="K52" t="s">
        <v>169</v>
      </c>
      <c r="L52">
        <v>51</v>
      </c>
    </row>
    <row r="53" spans="1:12" ht="15">
      <c r="A53" t="s">
        <v>72</v>
      </c>
      <c r="B53" t="s">
        <v>70</v>
      </c>
      <c r="C53">
        <v>13</v>
      </c>
      <c r="D53" s="12" t="s">
        <v>174</v>
      </c>
      <c r="E53" t="s">
        <v>175</v>
      </c>
      <c r="F53">
        <v>55825</v>
      </c>
      <c r="G53" t="s">
        <v>144</v>
      </c>
      <c r="H53">
        <f t="shared" si="0"/>
        <v>13</v>
      </c>
      <c r="K53" t="s">
        <v>228</v>
      </c>
      <c r="L53">
        <v>52</v>
      </c>
    </row>
    <row r="54" spans="1:12" ht="15">
      <c r="A54" t="s">
        <v>74</v>
      </c>
      <c r="B54" t="s">
        <v>73</v>
      </c>
      <c r="C54">
        <v>49</v>
      </c>
      <c r="D54" s="12" t="s">
        <v>155</v>
      </c>
      <c r="E54" t="s">
        <v>200</v>
      </c>
      <c r="F54">
        <v>61500</v>
      </c>
      <c r="G54" t="s">
        <v>144</v>
      </c>
      <c r="H54">
        <f t="shared" si="0"/>
        <v>49</v>
      </c>
      <c r="K54" t="s">
        <v>212</v>
      </c>
      <c r="L54">
        <v>53</v>
      </c>
    </row>
    <row r="55" spans="1:12" ht="15">
      <c r="A55" t="s">
        <v>74</v>
      </c>
      <c r="B55" t="s">
        <v>73</v>
      </c>
      <c r="C55">
        <v>12</v>
      </c>
      <c r="D55" s="12" t="s">
        <v>201</v>
      </c>
      <c r="E55" t="s">
        <v>202</v>
      </c>
      <c r="F55">
        <v>15550</v>
      </c>
      <c r="G55" t="s">
        <v>144</v>
      </c>
      <c r="H55">
        <f t="shared" si="0"/>
        <v>12</v>
      </c>
      <c r="K55" t="s">
        <v>209</v>
      </c>
      <c r="L55">
        <v>54</v>
      </c>
    </row>
    <row r="56" spans="1:12" ht="15">
      <c r="A56" t="s">
        <v>74</v>
      </c>
      <c r="B56" t="s">
        <v>73</v>
      </c>
      <c r="C56">
        <v>15</v>
      </c>
      <c r="D56" s="12" t="s">
        <v>203</v>
      </c>
      <c r="E56" t="s">
        <v>190</v>
      </c>
      <c r="F56">
        <v>10000</v>
      </c>
      <c r="G56" t="s">
        <v>121</v>
      </c>
      <c r="H56">
        <f t="shared" si="0"/>
        <v>15</v>
      </c>
      <c r="K56" t="s">
        <v>179</v>
      </c>
      <c r="L56">
        <v>55</v>
      </c>
    </row>
    <row r="57" spans="1:12" ht="15">
      <c r="A57" t="s">
        <v>76</v>
      </c>
      <c r="B57" t="s">
        <v>75</v>
      </c>
      <c r="C57">
        <v>22</v>
      </c>
      <c r="D57" s="12" t="s">
        <v>204</v>
      </c>
      <c r="E57" t="s">
        <v>205</v>
      </c>
      <c r="F57">
        <v>150000</v>
      </c>
      <c r="G57" t="s">
        <v>123</v>
      </c>
      <c r="H57">
        <f t="shared" si="0"/>
        <v>22</v>
      </c>
      <c r="K57" t="s">
        <v>233</v>
      </c>
      <c r="L57">
        <v>56</v>
      </c>
    </row>
    <row r="58" spans="1:12" ht="15">
      <c r="A58" t="s">
        <v>76</v>
      </c>
      <c r="B58" t="s">
        <v>75</v>
      </c>
      <c r="C58">
        <v>47</v>
      </c>
      <c r="D58" s="12" t="s">
        <v>206</v>
      </c>
      <c r="E58" t="s">
        <v>207</v>
      </c>
      <c r="F58">
        <v>50000</v>
      </c>
      <c r="G58" t="s">
        <v>121</v>
      </c>
      <c r="H58">
        <f t="shared" si="0"/>
        <v>47</v>
      </c>
      <c r="K58" t="s">
        <v>237</v>
      </c>
      <c r="L58">
        <v>57</v>
      </c>
    </row>
    <row r="59" spans="1:12" ht="15">
      <c r="A59" t="s">
        <v>76</v>
      </c>
      <c r="B59" t="s">
        <v>75</v>
      </c>
      <c r="C59">
        <v>36</v>
      </c>
      <c r="D59" s="12" t="s">
        <v>208</v>
      </c>
      <c r="E59" t="s">
        <v>122</v>
      </c>
      <c r="F59">
        <v>50000</v>
      </c>
      <c r="G59" t="s">
        <v>121</v>
      </c>
      <c r="H59">
        <f t="shared" si="0"/>
        <v>36</v>
      </c>
      <c r="K59" t="s">
        <v>128</v>
      </c>
      <c r="L59">
        <v>58</v>
      </c>
    </row>
    <row r="60" spans="1:12" ht="15">
      <c r="A60" t="s">
        <v>78</v>
      </c>
      <c r="B60" t="s">
        <v>77</v>
      </c>
      <c r="C60">
        <v>54</v>
      </c>
      <c r="D60" s="12" t="s">
        <v>209</v>
      </c>
      <c r="E60" t="s">
        <v>210</v>
      </c>
      <c r="F60">
        <v>311211</v>
      </c>
      <c r="G60" t="s">
        <v>211</v>
      </c>
      <c r="H60">
        <f t="shared" si="0"/>
        <v>54</v>
      </c>
    </row>
    <row r="61" spans="1:12" ht="15">
      <c r="A61" t="s">
        <v>78</v>
      </c>
      <c r="B61" t="s">
        <v>77</v>
      </c>
      <c r="C61">
        <v>53</v>
      </c>
      <c r="D61" s="12" t="s">
        <v>212</v>
      </c>
      <c r="E61" t="s">
        <v>213</v>
      </c>
      <c r="F61">
        <v>288500</v>
      </c>
      <c r="G61" t="s">
        <v>144</v>
      </c>
      <c r="H61">
        <f t="shared" si="0"/>
        <v>53</v>
      </c>
    </row>
    <row r="62" spans="1:12" ht="15">
      <c r="A62" t="s">
        <v>78</v>
      </c>
      <c r="B62" t="s">
        <v>77</v>
      </c>
      <c r="C62">
        <v>6</v>
      </c>
      <c r="D62" s="12" t="s">
        <v>214</v>
      </c>
      <c r="E62" t="s">
        <v>215</v>
      </c>
      <c r="F62">
        <v>150000</v>
      </c>
      <c r="G62" t="s">
        <v>123</v>
      </c>
      <c r="H62">
        <f t="shared" si="0"/>
        <v>6</v>
      </c>
    </row>
    <row r="63" spans="1:12" ht="15">
      <c r="A63" t="s">
        <v>80</v>
      </c>
      <c r="B63" t="s">
        <v>79</v>
      </c>
      <c r="C63">
        <v>24</v>
      </c>
      <c r="D63" s="9" t="s">
        <v>145</v>
      </c>
      <c r="E63" t="s">
        <v>145</v>
      </c>
      <c r="F63" t="s">
        <v>145</v>
      </c>
      <c r="G63" t="s">
        <v>145</v>
      </c>
      <c r="H63">
        <f t="shared" si="0"/>
        <v>24</v>
      </c>
    </row>
    <row r="64" spans="1:12" ht="15">
      <c r="A64" t="s">
        <v>82</v>
      </c>
      <c r="B64" t="s">
        <v>81</v>
      </c>
      <c r="C64">
        <v>5</v>
      </c>
      <c r="D64" s="12" t="s">
        <v>216</v>
      </c>
      <c r="E64" t="s">
        <v>217</v>
      </c>
      <c r="F64">
        <v>35000</v>
      </c>
      <c r="G64" t="s">
        <v>123</v>
      </c>
      <c r="H64">
        <f t="shared" si="0"/>
        <v>5</v>
      </c>
    </row>
    <row r="65" spans="1:8" ht="15">
      <c r="A65" t="s">
        <v>82</v>
      </c>
      <c r="B65" t="s">
        <v>81</v>
      </c>
      <c r="C65">
        <v>3</v>
      </c>
      <c r="D65" s="12" t="s">
        <v>218</v>
      </c>
      <c r="E65" t="s">
        <v>219</v>
      </c>
      <c r="F65">
        <v>25000</v>
      </c>
      <c r="G65" t="s">
        <v>121</v>
      </c>
      <c r="H65">
        <f t="shared" si="0"/>
        <v>3</v>
      </c>
    </row>
    <row r="66" spans="1:8" ht="15">
      <c r="A66" t="s">
        <v>82</v>
      </c>
      <c r="B66" t="s">
        <v>81</v>
      </c>
      <c r="C66">
        <v>42</v>
      </c>
      <c r="D66" s="12" t="s">
        <v>220</v>
      </c>
      <c r="E66" t="s">
        <v>221</v>
      </c>
      <c r="F66">
        <v>15000</v>
      </c>
      <c r="G66" t="s">
        <v>121</v>
      </c>
      <c r="H66">
        <f t="shared" si="0"/>
        <v>42</v>
      </c>
    </row>
    <row r="67" spans="1:8" ht="15">
      <c r="A67" t="s">
        <v>85</v>
      </c>
      <c r="B67" t="s">
        <v>83</v>
      </c>
      <c r="C67">
        <v>16</v>
      </c>
      <c r="D67" s="12" t="s">
        <v>222</v>
      </c>
      <c r="E67" t="s">
        <v>223</v>
      </c>
      <c r="F67">
        <v>125000</v>
      </c>
      <c r="G67" t="s">
        <v>123</v>
      </c>
      <c r="H67">
        <f t="shared" ref="H67:H85" si="1">VLOOKUP(D67,$K$2:$L$59,2,FALSE)</f>
        <v>16</v>
      </c>
    </row>
    <row r="68" spans="1:8" ht="15">
      <c r="A68" t="s">
        <v>85</v>
      </c>
      <c r="B68" t="s">
        <v>83</v>
      </c>
      <c r="C68">
        <v>13</v>
      </c>
      <c r="D68" s="12" t="s">
        <v>174</v>
      </c>
      <c r="E68" t="s">
        <v>175</v>
      </c>
      <c r="F68">
        <v>114050</v>
      </c>
      <c r="G68" t="s">
        <v>144</v>
      </c>
      <c r="H68">
        <f t="shared" si="1"/>
        <v>13</v>
      </c>
    </row>
    <row r="69" spans="1:8" ht="15">
      <c r="A69" t="s">
        <v>85</v>
      </c>
      <c r="B69" t="s">
        <v>83</v>
      </c>
      <c r="C69">
        <v>1</v>
      </c>
      <c r="D69" s="12" t="s">
        <v>224</v>
      </c>
      <c r="E69" t="s">
        <v>225</v>
      </c>
      <c r="F69">
        <v>105000</v>
      </c>
      <c r="G69" t="s">
        <v>121</v>
      </c>
      <c r="H69">
        <f t="shared" si="1"/>
        <v>1</v>
      </c>
    </row>
    <row r="70" spans="1:8" ht="15">
      <c r="A70" t="s">
        <v>87</v>
      </c>
      <c r="B70" t="s">
        <v>86</v>
      </c>
      <c r="C70">
        <v>14</v>
      </c>
      <c r="D70" s="12" t="s">
        <v>226</v>
      </c>
      <c r="E70" t="s">
        <v>227</v>
      </c>
      <c r="F70">
        <v>125000</v>
      </c>
      <c r="G70" t="s">
        <v>123</v>
      </c>
      <c r="H70">
        <f t="shared" si="1"/>
        <v>14</v>
      </c>
    </row>
    <row r="71" spans="1:8" ht="15">
      <c r="A71" t="s">
        <v>87</v>
      </c>
      <c r="B71" t="s">
        <v>86</v>
      </c>
      <c r="C71">
        <v>52</v>
      </c>
      <c r="D71" s="12" t="s">
        <v>228</v>
      </c>
      <c r="E71" t="s">
        <v>138</v>
      </c>
      <c r="F71">
        <v>20000</v>
      </c>
      <c r="G71" t="s">
        <v>229</v>
      </c>
      <c r="H71">
        <f t="shared" si="1"/>
        <v>52</v>
      </c>
    </row>
    <row r="72" spans="1:8" ht="15">
      <c r="A72" t="s">
        <v>87</v>
      </c>
      <c r="B72" t="s">
        <v>86</v>
      </c>
      <c r="C72">
        <v>4</v>
      </c>
      <c r="D72" s="12" t="s">
        <v>151</v>
      </c>
      <c r="E72" t="s">
        <v>138</v>
      </c>
      <c r="F72">
        <v>18293</v>
      </c>
      <c r="G72" t="s">
        <v>152</v>
      </c>
      <c r="H72">
        <f t="shared" si="1"/>
        <v>4</v>
      </c>
    </row>
    <row r="73" spans="1:8" ht="15">
      <c r="A73" t="s">
        <v>89</v>
      </c>
      <c r="B73" t="s">
        <v>88</v>
      </c>
      <c r="C73">
        <v>25</v>
      </c>
      <c r="D73" s="12" t="s">
        <v>230</v>
      </c>
      <c r="E73" t="s">
        <v>231</v>
      </c>
      <c r="F73">
        <v>161121</v>
      </c>
      <c r="G73" t="s">
        <v>232</v>
      </c>
      <c r="H73">
        <f t="shared" si="1"/>
        <v>25</v>
      </c>
    </row>
    <row r="74" spans="1:8" ht="15">
      <c r="A74" t="s">
        <v>89</v>
      </c>
      <c r="B74" t="s">
        <v>88</v>
      </c>
      <c r="C74">
        <v>56</v>
      </c>
      <c r="D74" s="12" t="s">
        <v>233</v>
      </c>
      <c r="E74" t="s">
        <v>234</v>
      </c>
      <c r="F74">
        <v>10000</v>
      </c>
      <c r="G74" t="s">
        <v>123</v>
      </c>
      <c r="H74">
        <f t="shared" si="1"/>
        <v>56</v>
      </c>
    </row>
    <row r="75" spans="1:8" ht="15">
      <c r="A75" t="s">
        <v>89</v>
      </c>
      <c r="B75" t="s">
        <v>88</v>
      </c>
      <c r="C75">
        <v>13</v>
      </c>
      <c r="D75" s="12" t="s">
        <v>174</v>
      </c>
      <c r="E75" t="s">
        <v>175</v>
      </c>
      <c r="F75">
        <v>8742</v>
      </c>
      <c r="G75" t="s">
        <v>144</v>
      </c>
      <c r="H75">
        <f t="shared" si="1"/>
        <v>13</v>
      </c>
    </row>
    <row r="76" spans="1:8" ht="15">
      <c r="A76" t="s">
        <v>92</v>
      </c>
      <c r="B76" t="s">
        <v>91</v>
      </c>
      <c r="C76">
        <v>8</v>
      </c>
      <c r="D76" s="12" t="s">
        <v>235</v>
      </c>
      <c r="E76" t="s">
        <v>236</v>
      </c>
      <c r="F76">
        <v>250000</v>
      </c>
      <c r="G76" t="s">
        <v>123</v>
      </c>
      <c r="H76">
        <f t="shared" si="1"/>
        <v>8</v>
      </c>
    </row>
    <row r="77" spans="1:8" ht="15">
      <c r="A77" t="s">
        <v>92</v>
      </c>
      <c r="B77" t="s">
        <v>91</v>
      </c>
      <c r="C77">
        <v>57</v>
      </c>
      <c r="D77" s="12" t="s">
        <v>237</v>
      </c>
      <c r="E77" t="s">
        <v>150</v>
      </c>
      <c r="F77">
        <v>100000</v>
      </c>
      <c r="G77" t="s">
        <v>123</v>
      </c>
      <c r="H77">
        <f t="shared" si="1"/>
        <v>57</v>
      </c>
    </row>
    <row r="78" spans="1:8" ht="15">
      <c r="A78" t="s">
        <v>92</v>
      </c>
      <c r="B78" t="s">
        <v>91</v>
      </c>
      <c r="C78">
        <v>50</v>
      </c>
      <c r="D78" s="12" t="s">
        <v>197</v>
      </c>
      <c r="E78" t="s">
        <v>238</v>
      </c>
      <c r="F78">
        <v>75000</v>
      </c>
      <c r="G78" t="s">
        <v>123</v>
      </c>
      <c r="H78">
        <f t="shared" si="1"/>
        <v>50</v>
      </c>
    </row>
    <row r="79" spans="1:8" ht="15">
      <c r="A79" t="s">
        <v>95</v>
      </c>
      <c r="B79" t="s">
        <v>94</v>
      </c>
      <c r="C79">
        <v>39</v>
      </c>
      <c r="D79" s="12" t="s">
        <v>239</v>
      </c>
      <c r="E79" t="s">
        <v>138</v>
      </c>
      <c r="F79">
        <v>107545</v>
      </c>
      <c r="G79" t="s">
        <v>123</v>
      </c>
      <c r="H79">
        <f t="shared" si="1"/>
        <v>39</v>
      </c>
    </row>
    <row r="80" spans="1:8" ht="15">
      <c r="A80" t="s">
        <v>95</v>
      </c>
      <c r="B80" t="s">
        <v>94</v>
      </c>
      <c r="C80">
        <v>27</v>
      </c>
      <c r="D80" s="12" t="s">
        <v>240</v>
      </c>
      <c r="E80" t="s">
        <v>241</v>
      </c>
      <c r="F80">
        <v>100000</v>
      </c>
      <c r="G80" t="s">
        <v>144</v>
      </c>
      <c r="H80">
        <f t="shared" si="1"/>
        <v>27</v>
      </c>
    </row>
    <row r="81" spans="1:8" ht="15">
      <c r="A81" t="s">
        <v>95</v>
      </c>
      <c r="B81" t="s">
        <v>94</v>
      </c>
      <c r="C81">
        <v>41</v>
      </c>
      <c r="D81" s="12" t="s">
        <v>242</v>
      </c>
      <c r="E81" t="s">
        <v>243</v>
      </c>
      <c r="F81">
        <v>100000</v>
      </c>
      <c r="G81" t="s">
        <v>152</v>
      </c>
      <c r="H81">
        <f t="shared" si="1"/>
        <v>41</v>
      </c>
    </row>
    <row r="82" spans="1:8" ht="15">
      <c r="A82" t="s">
        <v>97</v>
      </c>
      <c r="B82" t="s">
        <v>96</v>
      </c>
      <c r="C82">
        <v>4</v>
      </c>
      <c r="D82" s="12" t="s">
        <v>151</v>
      </c>
      <c r="E82" t="s">
        <v>138</v>
      </c>
      <c r="F82">
        <v>48388</v>
      </c>
      <c r="G82" t="s">
        <v>152</v>
      </c>
      <c r="H82">
        <f t="shared" si="1"/>
        <v>4</v>
      </c>
    </row>
    <row r="83" spans="1:8" ht="15">
      <c r="A83" t="s">
        <v>97</v>
      </c>
      <c r="B83" t="s">
        <v>96</v>
      </c>
      <c r="C83">
        <v>43</v>
      </c>
      <c r="D83" s="12" t="s">
        <v>244</v>
      </c>
      <c r="E83" t="s">
        <v>167</v>
      </c>
      <c r="F83">
        <v>10000</v>
      </c>
      <c r="G83" t="s">
        <v>245</v>
      </c>
      <c r="H83">
        <f t="shared" si="1"/>
        <v>43</v>
      </c>
    </row>
    <row r="84" spans="1:8" ht="15">
      <c r="A84" t="s">
        <v>97</v>
      </c>
      <c r="B84" t="s">
        <v>96</v>
      </c>
      <c r="C84">
        <v>32</v>
      </c>
      <c r="D84" s="12" t="s">
        <v>246</v>
      </c>
      <c r="E84" t="s">
        <v>225</v>
      </c>
      <c r="F84">
        <v>9974</v>
      </c>
      <c r="G84" t="s">
        <v>123</v>
      </c>
      <c r="H84">
        <f t="shared" si="1"/>
        <v>32</v>
      </c>
    </row>
    <row r="85" spans="1:8" ht="15">
      <c r="A85" t="s">
        <v>99</v>
      </c>
      <c r="B85" t="s">
        <v>98</v>
      </c>
      <c r="C85">
        <v>13</v>
      </c>
      <c r="D85" s="12" t="s">
        <v>174</v>
      </c>
      <c r="E85" t="s">
        <v>175</v>
      </c>
      <c r="F85">
        <v>38400</v>
      </c>
      <c r="G85" t="s">
        <v>247</v>
      </c>
      <c r="H85">
        <f t="shared" si="1"/>
        <v>13</v>
      </c>
    </row>
    <row r="86" spans="1:8" ht="15">
      <c r="A86" t="s">
        <v>616</v>
      </c>
      <c r="B86" t="s">
        <v>618</v>
      </c>
      <c r="C86">
        <v>4</v>
      </c>
      <c r="D86" s="12" t="s">
        <v>151</v>
      </c>
      <c r="E86" t="s">
        <v>138</v>
      </c>
      <c r="F86" s="1">
        <v>15495</v>
      </c>
      <c r="G86">
        <v>2023</v>
      </c>
      <c r="H86">
        <f>VLOOKUP(D86,$K$2:$L$59,2,FALSE)</f>
        <v>4</v>
      </c>
    </row>
    <row r="87" spans="1:8" ht="15">
      <c r="A87" t="s">
        <v>616</v>
      </c>
      <c r="B87" t="s">
        <v>618</v>
      </c>
      <c r="C87">
        <v>17</v>
      </c>
      <c r="D87" s="12" t="s">
        <v>632</v>
      </c>
      <c r="E87" t="s">
        <v>633</v>
      </c>
      <c r="F87" s="1">
        <v>10000</v>
      </c>
      <c r="G87">
        <v>2022</v>
      </c>
      <c r="H87">
        <f t="shared" ref="H87:H88" si="2">VLOOKUP(D87,$K$2:$L$59,2,FALSE)</f>
        <v>17</v>
      </c>
    </row>
    <row r="88" spans="1:8" ht="15">
      <c r="A88" t="s">
        <v>616</v>
      </c>
      <c r="B88" t="s">
        <v>618</v>
      </c>
      <c r="C88">
        <v>2</v>
      </c>
      <c r="D88" s="12" t="s">
        <v>148</v>
      </c>
      <c r="E88" t="s">
        <v>138</v>
      </c>
      <c r="F88" s="1">
        <v>250</v>
      </c>
      <c r="G88">
        <v>2022</v>
      </c>
      <c r="H88">
        <f t="shared" si="2"/>
        <v>2</v>
      </c>
    </row>
    <row r="89" spans="1:8" ht="15"/>
    <row r="90" spans="1:8" ht="15"/>
    <row r="91" spans="1:8" ht="15"/>
    <row r="92" spans="1:8" ht="15"/>
    <row r="93" spans="1:8" ht="15"/>
    <row r="94" spans="1:8" ht="15"/>
    <row r="95" spans="1:8" ht="15"/>
    <row r="96" spans="1:8"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1" ht="15"/>
    <row r="892" ht="15"/>
    <row r="893" ht="15"/>
    <row r="894" ht="15"/>
    <row r="895" ht="15"/>
    <row r="896" ht="15"/>
    <row r="897" ht="15"/>
    <row r="898" ht="15"/>
    <row r="899" ht="15"/>
    <row r="900" ht="15"/>
    <row r="901" ht="15"/>
    <row r="902" ht="15"/>
    <row r="903" ht="15"/>
    <row r="904" ht="15"/>
    <row r="905" ht="15"/>
    <row r="906" ht="15"/>
    <row r="907" ht="15"/>
    <row r="908" ht="15"/>
    <row r="909" ht="15"/>
    <row r="910" ht="15"/>
    <row r="911" ht="15"/>
    <row r="912" ht="15"/>
    <row r="913" ht="15"/>
    <row r="914" ht="15"/>
    <row r="915" ht="15"/>
    <row r="916" ht="15"/>
    <row r="917" ht="15"/>
    <row r="918" ht="15"/>
    <row r="919" ht="15"/>
    <row r="920" ht="15"/>
    <row r="921" ht="15"/>
    <row r="922" ht="15"/>
    <row r="923" ht="15"/>
    <row r="924" ht="15"/>
    <row r="925" ht="15"/>
    <row r="926" ht="15"/>
    <row r="927" ht="15"/>
    <row r="928" ht="15"/>
    <row r="929" ht="15"/>
    <row r="930" ht="15"/>
    <row r="931" ht="15"/>
    <row r="932" ht="15"/>
    <row r="933" ht="15"/>
    <row r="934" ht="15"/>
    <row r="935" ht="15"/>
    <row r="936" ht="15"/>
    <row r="937" ht="15"/>
    <row r="938" ht="15"/>
    <row r="939" ht="15"/>
    <row r="940" ht="15"/>
    <row r="941" ht="15"/>
    <row r="942" ht="15"/>
    <row r="943" ht="15"/>
    <row r="944" ht="15"/>
    <row r="945" ht="15"/>
    <row r="946" ht="15"/>
    <row r="947" ht="15"/>
    <row r="948" ht="15"/>
    <row r="949" ht="15"/>
    <row r="950" ht="15"/>
    <row r="951" ht="15"/>
    <row r="952" ht="15"/>
    <row r="953" ht="15"/>
    <row r="954" ht="15"/>
    <row r="955" ht="15"/>
    <row r="956" ht="15"/>
    <row r="957" ht="15"/>
    <row r="958" ht="15"/>
    <row r="959" ht="15"/>
    <row r="960" ht="15"/>
    <row r="961" ht="15"/>
    <row r="962" ht="15"/>
    <row r="963" ht="15"/>
    <row r="964" ht="15"/>
    <row r="965" ht="15"/>
    <row r="966" ht="15"/>
    <row r="967" ht="15"/>
    <row r="968" ht="15"/>
    <row r="969" ht="15"/>
    <row r="970" ht="15"/>
    <row r="971" ht="15"/>
    <row r="972" ht="15"/>
    <row r="973" ht="15"/>
    <row r="974" ht="15"/>
    <row r="975" ht="15"/>
    <row r="976" ht="15"/>
    <row r="977" ht="15"/>
    <row r="978" ht="15"/>
    <row r="979" ht="15"/>
    <row r="980" ht="15"/>
    <row r="981" ht="15"/>
    <row r="982" ht="15"/>
    <row r="983" ht="15"/>
    <row r="984" ht="15"/>
    <row r="985" ht="15"/>
    <row r="986" ht="15"/>
    <row r="987" ht="15"/>
    <row r="988" ht="15"/>
    <row r="989" ht="15"/>
    <row r="990" ht="15"/>
    <row r="991" ht="15"/>
    <row r="992" ht="15"/>
    <row r="993" ht="15"/>
    <row r="994" ht="15"/>
    <row r="995" ht="15"/>
    <row r="996" ht="15"/>
    <row r="997" ht="15"/>
    <row r="998" ht="15"/>
    <row r="999" ht="15"/>
    <row r="1000" ht="15"/>
    <row r="1001" ht="15"/>
    <row r="1002" ht="15"/>
    <row r="1003" ht="15"/>
    <row r="1004" ht="15"/>
    <row r="1005" ht="15"/>
    <row r="1006" ht="15"/>
    <row r="1007" ht="15"/>
    <row r="1008" ht="15"/>
    <row r="1009" ht="15"/>
    <row r="1010" ht="15"/>
    <row r="1011" ht="15"/>
    <row r="1012" ht="15"/>
    <row r="1013" ht="15"/>
    <row r="1014" ht="15"/>
    <row r="1015" ht="15"/>
    <row r="1016" ht="15"/>
    <row r="1017" ht="15"/>
    <row r="1018" ht="15"/>
    <row r="1019" ht="15"/>
    <row r="1020" ht="15"/>
    <row r="1021" ht="15"/>
    <row r="1022" ht="15"/>
    <row r="1023" ht="15"/>
    <row r="1024" ht="15"/>
    <row r="1025" ht="15"/>
    <row r="1026" ht="15"/>
    <row r="1027" ht="15"/>
    <row r="1028" ht="15"/>
  </sheetData>
  <hyperlinks>
    <hyperlink ref="D5" r:id="rId1" display="https://www.causeiq.com/organizations/dorrance-family-foundation,860691863/" xr:uid="{22D9E456-E1AA-414B-B088-E9C3F236B504}"/>
    <hyperlink ref="D6" r:id="rId2" display="https://www.causeiq.com/organizations/resources-legacy-fund,954703838/" xr:uid="{24A45BBC-90AF-41E3-A14E-254169899FDF}"/>
    <hyperlink ref="D7" r:id="rId3" display="https://www.causeiq.com/organizations/the-marisla-foundation,330200133/" xr:uid="{62B4749A-A6CE-4AC6-8664-AD742802D819}"/>
    <hyperlink ref="D8" r:id="rId4" display="https://www.causeiq.com/organizations/oneroot-foundation,876588450/" xr:uid="{251FF510-F864-43B1-927A-EF2B2A8A17D9}"/>
    <hyperlink ref="D9" r:id="rId5" display="https://www.causeiq.com/organizations/paypal-giving-fund,450931286/" xr:uid="{4D5AF3E0-CAB1-4181-AF6B-A351B73C02D3}"/>
    <hyperlink ref="D10" r:id="rId6" display="https://www.causeiq.com/organizations/schwab-charitable-fund,311640316/" xr:uid="{C6993628-3D45-4F3F-981B-7ABBE4CC6944}"/>
    <hyperlink ref="D41" r:id="rId7" display="https://www.causeiq.com/organizations/amazonsmile-foundation,462626883/" xr:uid="{2D7BC012-563A-408D-B402-21DA9B3E9036}"/>
    <hyperlink ref="D42" r:id="rId8" display="https://www.causeiq.com/organizations/santa-barbara-foundation,951866094/" xr:uid="{F93E9111-82BF-404A-A7F0-0CCBB18368FF}"/>
    <hyperlink ref="D43" r:id="rId9" display="https://www.causeiq.com/organizations/fidelity-investments-charitable-gift-fund,110303001/" xr:uid="{5A15A8A4-C737-4807-A565-7CC4F9166D49}"/>
    <hyperlink ref="D44" r:id="rId10" display="https://www.causeiq.com/organizations/schwab-charitable-fund,311640316/" xr:uid="{C886626F-BE02-4FB4-AAE2-DBCEEEA58242}"/>
    <hyperlink ref="D45" r:id="rId11" display="https://www.causeiq.com/organizations/lanza-family-foundation,133922706/" xr:uid="{6AB4E64A-5B99-44A2-BE76-353E3BB71479}"/>
    <hyperlink ref="D46" r:id="rId12" display="https://www.causeiq.com/organizations/fidelity-investments-charitable-gift-fund,110303001/" xr:uid="{571B4944-D9B2-452F-A159-A81F27932068}"/>
    <hyperlink ref="D47" r:id="rId13" display="https://www.causeiq.com/organizations/amazonsmile-foundation,462626883/" xr:uid="{7C4832B9-77A3-4309-AEEC-77D2E3DB03E7}"/>
    <hyperlink ref="D48" r:id="rId14" display="https://www.causeiq.com/organizations/fidelity-investments-charitable-gift-fund,110303001/" xr:uid="{8B1C1264-FA37-42C5-909D-785CDCD31800}"/>
    <hyperlink ref="D49" r:id="rId15" display="https://www.causeiq.com/organizations/the-schmidt-family-foundation,204170342/" xr:uid="{055F2929-A1D6-46F3-8331-E7CE878FBC52}"/>
    <hyperlink ref="D50" r:id="rId16" display="https://www.causeiq.com/organizations/schwab-charitable-fund,311640316/" xr:uid="{23FD0516-26A0-4515-919E-7DEFE345CC33}"/>
    <hyperlink ref="D51" r:id="rId17" display="https://www.causeiq.com/organizations/resources-legacy-fund,954703838/" xr:uid="{9C1634B0-3D33-472D-9E43-95BEE3048D7B}"/>
    <hyperlink ref="D52" r:id="rId18" display="https://www.causeiq.com/organizations/schwab-charitable-fund,311640316/" xr:uid="{0C2109A0-245F-4335-A38A-F1DC2128D8B1}"/>
    <hyperlink ref="D53" r:id="rId19" display="https://www.causeiq.com/organizations/fidelity-investments-charitable-gift-fund,110303001/" xr:uid="{52208B21-CE29-4A25-B9DB-E05A3799BDDC}"/>
    <hyperlink ref="D54" r:id="rId20" display="https://www.causeiq.com/organizations/the-san-diego-foundation,952942582/" xr:uid="{1A1F8E17-9E8E-4256-8468-CCC2E07A336F}"/>
    <hyperlink ref="D55" r:id="rId21" display="https://www.causeiq.com/organizations/ellen-browning-scripps-foundation,951644633/" xr:uid="{0C42B4CB-EEA9-4B67-81BF-F251B1F4D175}"/>
    <hyperlink ref="D56" r:id="rId22" display="https://www.causeiq.com/organizations/heller-foundation-of-san-diego-026626-00-06,956010314/" xr:uid="{262A6B2B-1614-4AB4-B5B7-DB03A6F5D2D4}"/>
    <hyperlink ref="D57" r:id="rId23" display="https://www.causeiq.com/organizations/manitou-fund,416055113/" xr:uid="{CF19613B-6CD7-4F05-96F4-2556E80D679C}"/>
    <hyperlink ref="D58" r:id="rId24" display="https://www.causeiq.com/organizations/patricia-and-paul-bragg-foundation,843883910/" xr:uid="{890F2B90-F0FD-4BF0-85AB-017C32FB9AA5}"/>
    <hyperlink ref="D59" r:id="rId25" display="https://www.causeiq.com/organizations/schlinger-family-foundation,522390970/" xr:uid="{AEE63773-B3E4-4A43-8016-BDF86090EF4E}"/>
    <hyperlink ref="D60" r:id="rId26" display="https://www.causeiq.com/organizations/vegan-outreach,860736818/" xr:uid="{6A4F2A94-5697-46A7-BDCA-FF4F81400B1E}"/>
    <hyperlink ref="D61" r:id="rId27" display="https://www.causeiq.com/organizations/vanguard-charitable-endowment-program,232888152/" xr:uid="{7E547AD6-B17A-42C3-88FE-A41AFECF9B7A}"/>
    <hyperlink ref="D62" r:id="rId28" display="https://www.causeiq.com/organizations/the-builders-initiative,821503941/" xr:uid="{6C4A16DA-7B41-47FD-A33D-E62535B27C46}"/>
    <hyperlink ref="D64" r:id="rId29" display="https://www.causeiq.com/organizations/bella-vista-foundation,943345967/" xr:uid="{013D255C-E932-4702-9D6A-7D12B2624A44}"/>
    <hyperlink ref="D65" r:id="rId30" display="https://www.causeiq.com/organizations/american-endowment-foundation,341747398/" xr:uid="{F74DFD9D-E1C2-4F88-8AE6-3EA4C78E2946}"/>
    <hyperlink ref="D66" r:id="rId31" display="https://www.causeiq.com/organizations/the-henry-mayo-newhall-foundation,946073084/" xr:uid="{407DA969-17BA-4E2F-9C4E-B73521B935A8}"/>
    <hyperlink ref="D67" r:id="rId32" display="https://www.causeiq.com/organizations/holtzman-wildlife-foundation,474054964/" xr:uid="{87569110-B143-4128-B897-1CED93E125FE}"/>
    <hyperlink ref="D68" r:id="rId33" display="https://www.causeiq.com/organizations/fidelity-investments-charitable-gift-fund,110303001/" xr:uid="{42BA7133-0507-430D-B825-63CDF12C467F}"/>
    <hyperlink ref="D69" r:id="rId34" display="https://www.causeiq.com/organizations/10-25-tomorrow-foundation,411894487/" xr:uid="{ECDAFBBE-56F8-4BAD-A37F-87C86A183E12}"/>
    <hyperlink ref="D70" r:id="rId35" display="https://www.causeiq.com/organizations/hearst-foundations,136019226/" xr:uid="{6BA8F5C0-5EEC-4A23-B1B5-E2F171D41CFB}"/>
    <hyperlink ref="D71" r:id="rId36" display="https://www.causeiq.com/organizations/william-h-donner-foundation,231611346/" xr:uid="{9C70C32B-7C89-4334-8EBD-3677B1F73626}"/>
    <hyperlink ref="D72" r:id="rId37" display="https://www.causeiq.com/organizations/american-online-giving-foundation,810739440/" xr:uid="{3DEB3398-44FE-4E3F-9836-497FAEAC9B46}"/>
    <hyperlink ref="D73" r:id="rId38" display="https://www.causeiq.com/organizations/national-fish-and-wildlife-foundation,521384139/" xr:uid="{13C0C529-51DB-4A59-9C31-C51897AEA820}"/>
    <hyperlink ref="D74" r:id="rId39" display="https://www.causeiq.com/organizations/utility-farm,822281466/" xr:uid="{D85DC354-B253-40E1-8DBE-C04EC07BC640}"/>
    <hyperlink ref="D75" r:id="rId40" display="https://www.causeiq.com/organizations/fidelity-investments-charitable-gift-fund,110303001/" xr:uid="{E00AC71F-C107-4D8F-BD0D-817E713CB1FC}"/>
    <hyperlink ref="D76" r:id="rId41" display="https://www.causeiq.com/organizations/california-wellness-foundation,954292101/" xr:uid="{B572BCE8-9126-426C-B147-1AFD1289BE9B}"/>
    <hyperlink ref="D77" r:id="rId42" display="https://www.causeiq.com/organizations/william-and-flora-hewlett-foundation,941655673/" xr:uid="{19E522A6-F050-47E1-B50F-EAAEA3ECC5DE}"/>
    <hyperlink ref="D78" r:id="rId43" display="https://www.causeiq.com/organizations/the-schmidt-family-foundation,204170342/" xr:uid="{446A69D9-EEA2-4AD7-96FE-7312C6C4A948}"/>
    <hyperlink ref="D79" r:id="rId44" display="https://www.causeiq.com/organizations/sierra-health-foundation-center-for-health-program,455282243/" xr:uid="{555F6B32-F5CF-444D-BE68-CFD16DC78D4F}"/>
    <hyperlink ref="D80" r:id="rId45" display="https://www.causeiq.com/organizations/national-philanthropic-trust,237825575/" xr:uid="{2965E12E-FCD4-4989-BD9A-BD8BB28892DC}"/>
    <hyperlink ref="D81" r:id="rId46" display="https://www.causeiq.com/organizations/the-california-endowment,954523232/" xr:uid="{F2260F3E-64BD-4DCD-A4C8-A09D2618A805}"/>
    <hyperlink ref="D82" r:id="rId47" display="https://www.causeiq.com/organizations/american-online-giving-foundation,810739440/" xr:uid="{B796908C-CD4C-4CC2-8878-B8E20418BD8B}"/>
    <hyperlink ref="D83" r:id="rId48" display="https://www.causeiq.com/organizations/the-jake-foundation,522107509/" xr:uid="{A00FA20E-EBE3-461E-AFA8-4743A5448CC1}"/>
    <hyperlink ref="D84" r:id="rId49" display="https://www.causeiq.com/organizations/pledgeling-foundation,462440594/" xr:uid="{E223C213-7C3C-4C0D-A79E-D8FC0CA29F17}"/>
    <hyperlink ref="D85" r:id="rId50" display="https://www.causeiq.com/organizations/fidelity-investments-charitable-gift-fund,110303001/" xr:uid="{0A26C327-82C5-4610-8776-01857E306605}"/>
    <hyperlink ref="D86" r:id="rId51" display="https://www.causeiq.com/organizations/american-online-giving-foundation,810739440/" xr:uid="{3108ABFB-B478-4E27-A544-8670AE48CE42}"/>
    <hyperlink ref="D87" r:id="rId52" display="https://www.causeiq.com/organizations/keep-america-beautiful,131761633/" xr:uid="{D0F4AA15-E398-4E0B-870A-8448CD23E6DD}"/>
    <hyperlink ref="D88" r:id="rId53" display="https://www.causeiq.com/organizations/amazonsmile-foundation,462626883/" xr:uid="{506A6E60-EEDD-494F-AFE6-C890828418E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534AD-80EC-462A-A7E3-E6C0160934EF}">
  <dimension ref="B2:U15"/>
  <sheetViews>
    <sheetView workbookViewId="0">
      <selection activeCell="L11" sqref="L11"/>
    </sheetView>
  </sheetViews>
  <sheetFormatPr defaultRowHeight="15"/>
  <cols>
    <col min="2" max="2" width="5" bestFit="1" customWidth="1"/>
    <col min="6" max="6" width="6.28515625" bestFit="1" customWidth="1"/>
    <col min="7" max="7" width="30.85546875" bestFit="1" customWidth="1"/>
    <col min="8" max="8" width="43.28515625" bestFit="1" customWidth="1"/>
    <col min="9" max="9" width="14.5703125" bestFit="1" customWidth="1"/>
  </cols>
  <sheetData>
    <row r="2" spans="2:21">
      <c r="B2" t="s">
        <v>634</v>
      </c>
      <c r="G2" s="24" t="s">
        <v>653</v>
      </c>
      <c r="H2" s="24"/>
      <c r="I2" s="24"/>
      <c r="J2" s="24"/>
      <c r="K2" s="24"/>
      <c r="L2" s="24"/>
      <c r="M2" s="24"/>
      <c r="N2" s="24"/>
      <c r="Q2" t="s">
        <v>667</v>
      </c>
    </row>
    <row r="3" spans="2:21">
      <c r="B3" t="s">
        <v>635</v>
      </c>
      <c r="Q3" t="s">
        <v>668</v>
      </c>
      <c r="U3" t="s">
        <v>669</v>
      </c>
    </row>
    <row r="4" spans="2:21">
      <c r="B4" t="s">
        <v>145</v>
      </c>
      <c r="G4" s="26" t="s">
        <v>665</v>
      </c>
      <c r="H4" s="26"/>
      <c r="L4" s="24" t="s">
        <v>666</v>
      </c>
      <c r="M4" s="24"/>
      <c r="N4" s="24"/>
      <c r="O4" s="24"/>
      <c r="P4" s="24"/>
      <c r="Q4" s="24"/>
      <c r="R4" s="24"/>
    </row>
    <row r="5" spans="2:21">
      <c r="B5" t="s">
        <v>636</v>
      </c>
      <c r="G5" s="24" t="s">
        <v>658</v>
      </c>
      <c r="H5" s="24"/>
      <c r="I5" s="24"/>
    </row>
    <row r="6" spans="2:21">
      <c r="B6" t="s">
        <v>637</v>
      </c>
      <c r="F6" t="s">
        <v>654</v>
      </c>
      <c r="G6" s="25" t="s">
        <v>659</v>
      </c>
      <c r="H6" s="25" t="s">
        <v>660</v>
      </c>
      <c r="I6" s="25" t="s">
        <v>662</v>
      </c>
      <c r="L6" s="25" t="s">
        <v>670</v>
      </c>
      <c r="M6" s="2" t="s">
        <v>681</v>
      </c>
      <c r="Q6" t="s">
        <v>682</v>
      </c>
    </row>
    <row r="7" spans="2:21">
      <c r="B7" t="s">
        <v>638</v>
      </c>
      <c r="G7" t="s">
        <v>657</v>
      </c>
      <c r="H7" t="s">
        <v>661</v>
      </c>
      <c r="I7" t="s">
        <v>663</v>
      </c>
      <c r="L7" t="s">
        <v>671</v>
      </c>
    </row>
    <row r="8" spans="2:21">
      <c r="B8" t="s">
        <v>639</v>
      </c>
      <c r="G8" t="s">
        <v>656</v>
      </c>
      <c r="H8" t="s">
        <v>655</v>
      </c>
      <c r="I8" t="s">
        <v>664</v>
      </c>
      <c r="L8" t="s">
        <v>672</v>
      </c>
    </row>
    <row r="9" spans="2:21">
      <c r="G9" t="s">
        <v>113</v>
      </c>
      <c r="L9" t="s">
        <v>673</v>
      </c>
    </row>
    <row r="10" spans="2:21">
      <c r="L10" t="s">
        <v>674</v>
      </c>
    </row>
    <row r="11" spans="2:21">
      <c r="L11" t="s">
        <v>676</v>
      </c>
    </row>
    <row r="12" spans="2:21">
      <c r="G12" t="s">
        <v>675</v>
      </c>
      <c r="L12" t="s">
        <v>677</v>
      </c>
    </row>
    <row r="13" spans="2:21">
      <c r="G13" t="s">
        <v>679</v>
      </c>
    </row>
    <row r="14" spans="2:21">
      <c r="G14" t="s">
        <v>678</v>
      </c>
    </row>
    <row r="15" spans="2:21">
      <c r="G15" t="s">
        <v>680</v>
      </c>
    </row>
  </sheetData>
  <mergeCells count="4">
    <mergeCell ref="G2:N2"/>
    <mergeCell ref="G4:H4"/>
    <mergeCell ref="G5:I5"/>
    <mergeCell ref="L4: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Orgs</vt:lpstr>
      <vt:lpstr>Sheet1</vt:lpstr>
      <vt:lpstr>full list</vt:lpstr>
      <vt:lpstr>vlookup-draft</vt:lpstr>
      <vt:lpstr>compiled</vt:lpstr>
      <vt:lpstr>compiled list</vt:lpstr>
      <vt:lpstr>Sheet2</vt:lpstr>
      <vt:lpstr>data_dict</vt:lpstr>
      <vt:lpstr>form-990</vt:lpstr>
      <vt:lpstr>Sheet4</vt:lpstr>
      <vt:lpstr>Employees</vt:lpstr>
      <vt:lpstr>Grant_maker</vt:lpstr>
      <vt:lpstr>grants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Vanellsa Acha</dc:creator>
  <cp:lastModifiedBy>Vanellsa Acha</cp:lastModifiedBy>
  <dcterms:created xsi:type="dcterms:W3CDTF">2024-12-27T15:39:28Z</dcterms:created>
  <dcterms:modified xsi:type="dcterms:W3CDTF">2025-01-03T13:09:02Z</dcterms:modified>
</cp:coreProperties>
</file>